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hidePivotFieldList="1" defaultThemeVersion="124226"/>
  <mc:AlternateContent xmlns:mc="http://schemas.openxmlformats.org/markup-compatibility/2006">
    <mc:Choice Requires="x15">
      <x15ac:absPath xmlns:x15ac="http://schemas.microsoft.com/office/spreadsheetml/2010/11/ac" url="D:\Портфолио\Excel\"/>
    </mc:Choice>
  </mc:AlternateContent>
  <xr:revisionPtr revIDLastSave="0" documentId="13_ncr:1_{13FEBD0C-EF6E-4BAC-8AD2-C04EE6DD896C}" xr6:coauthVersionLast="43" xr6:coauthVersionMax="43" xr10:uidLastSave="{00000000-0000-0000-0000-000000000000}"/>
  <bookViews>
    <workbookView xWindow="-108" yWindow="-108" windowWidth="23256" windowHeight="12456" activeTab="10" xr2:uid="{00000000-000D-0000-FFFF-FFFF00000000}"/>
  </bookViews>
  <sheets>
    <sheet name="סעיף 8" sheetId="20" r:id="rId1"/>
    <sheet name="סעיף 7" sheetId="25" r:id="rId2"/>
    <sheet name="סעיף 6" sheetId="21" r:id="rId3"/>
    <sheet name="סעיף 5" sheetId="14" r:id="rId4"/>
    <sheet name="סעיף 3.6" sheetId="13" r:id="rId5"/>
    <sheet name="סעיף 3.5" sheetId="12" r:id="rId6"/>
    <sheet name="סעיף 3.4" sheetId="10" r:id="rId7"/>
    <sheet name="סעיף 3.3" sheetId="9" r:id="rId8"/>
    <sheet name="סעיף 3.2" sheetId="8" r:id="rId9"/>
    <sheet name="סעיף 3.1" sheetId="7" r:id="rId10"/>
    <sheet name="טבלת ציר" sheetId="1" r:id="rId11"/>
  </sheets>
  <definedNames>
    <definedName name="_xlnm._FilterDatabase" localSheetId="10" hidden="1">'טבלת ציר'!$A$1:$H$101</definedName>
    <definedName name="החזר_חודשי" localSheetId="2">'סעיף 6'!$B$6</definedName>
    <definedName name="החזר_חודשי" localSheetId="0">'סעיף 8'!$B$6</definedName>
    <definedName name="החזר_חודשי">'סעיף 5'!$B$6</definedName>
    <definedName name="הלוואה" localSheetId="2">'סעיף 6'!$B$1</definedName>
    <definedName name="הלוואה" localSheetId="0">'סעיף 8'!$B$1</definedName>
    <definedName name="הלוואה">'סעיף 5'!$B$1</definedName>
    <definedName name="ריבית_שנתית" localSheetId="2">'סעיף 6'!$B$3</definedName>
    <definedName name="ריבית_שנתית" localSheetId="0">'סעיף 8'!$B$3</definedName>
    <definedName name="ריבית_שנתית">'סעיף 5'!$B$3</definedName>
    <definedName name="תקופה_שנתית" localSheetId="2">'סעיף 6'!$B$2</definedName>
    <definedName name="תקופה_שנתית" localSheetId="0">'סעיף 8'!$B$2</definedName>
    <definedName name="תקופה_שנתית">'סעיף 5'!$B$2</definedName>
  </definedNames>
  <calcPr calcId="191029"/>
  <pivotCaches>
    <pivotCache cacheId="0" r:id="rId12"/>
  </pivotCache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5" i="21" l="1"/>
  <c r="B4" i="21"/>
  <c r="B6" i="21" l="1"/>
  <c r="H2" i="21" s="1"/>
  <c r="H7" i="21"/>
  <c r="H6" i="21"/>
  <c r="H5" i="21"/>
  <c r="H4" i="21"/>
  <c r="H3" i="21"/>
  <c r="K2" i="21"/>
  <c r="J2" i="21"/>
  <c r="I2" i="21"/>
  <c r="B5" i="14"/>
  <c r="B4" i="14"/>
  <c r="B5" i="20"/>
  <c r="B4" i="20"/>
  <c r="H7" i="20" l="1"/>
  <c r="H6" i="20"/>
  <c r="H5" i="20"/>
  <c r="H4" i="20"/>
  <c r="H3" i="20"/>
  <c r="K2" i="20"/>
  <c r="J2" i="20"/>
  <c r="I2" i="20"/>
  <c r="B6" i="20" l="1"/>
  <c r="H2" i="20" s="1"/>
  <c r="B6" i="14"/>
</calcChain>
</file>

<file path=xl/sharedStrings.xml><?xml version="1.0" encoding="utf-8"?>
<sst xmlns="http://schemas.openxmlformats.org/spreadsheetml/2006/main" count="651" uniqueCount="80">
  <si>
    <t>מוצר</t>
  </si>
  <si>
    <t>חנות</t>
  </si>
  <si>
    <t>סוכן</t>
  </si>
  <si>
    <t>חודש</t>
  </si>
  <si>
    <t>כמות שנמכרה</t>
  </si>
  <si>
    <t>היקף מכירות בש"ח</t>
  </si>
  <si>
    <t>עלות ליחידה בש"ח</t>
  </si>
  <si>
    <t>רווח גולמי בש"ח</t>
  </si>
  <si>
    <t>מקרר</t>
  </si>
  <si>
    <t>טלוויזיה</t>
  </si>
  <si>
    <t>טלפון</t>
  </si>
  <si>
    <t>מזגן</t>
  </si>
  <si>
    <t>מחשב נייד</t>
  </si>
  <si>
    <t>חנות חיפה</t>
  </si>
  <si>
    <t>חנות ירושלים</t>
  </si>
  <si>
    <t>חנות באר שבע</t>
  </si>
  <si>
    <t>חנות תל אביב</t>
  </si>
  <si>
    <t>יוסי</t>
  </si>
  <si>
    <t>שרה</t>
  </si>
  <si>
    <t>רונית</t>
  </si>
  <si>
    <t>דני</t>
  </si>
  <si>
    <t>מאי</t>
  </si>
  <si>
    <t>אפריל</t>
  </si>
  <si>
    <t>מרץ</t>
  </si>
  <si>
    <t>ינואר</t>
  </si>
  <si>
    <t>יוני</t>
  </si>
  <si>
    <t>פברואר</t>
  </si>
  <si>
    <t>שכר חודשי בש"ח</t>
  </si>
  <si>
    <t>מיכאל</t>
  </si>
  <si>
    <t>לאה</t>
  </si>
  <si>
    <t>נועם</t>
  </si>
  <si>
    <t>טל</t>
  </si>
  <si>
    <r>
      <rPr>
        <b/>
        <sz val="12"/>
        <color theme="1"/>
        <rFont val="Calibri"/>
        <family val="2"/>
        <charset val="204"/>
        <scheme val="minor"/>
      </rPr>
      <t>המלצות:</t>
    </r>
    <r>
      <rPr>
        <sz val="12"/>
        <color theme="1"/>
        <rFont val="Calibri"/>
        <family val="2"/>
        <charset val="204"/>
        <scheme val="minor"/>
      </rPr>
      <t xml:space="preserve"> בהתבסס על הנתונים, ניתן לזהות אילו סוכנים היו בעלי תרומה גבוהה יותר למכירות במהלך התקופה.
אם יש צורך בהתייעלות, הנתונים עשויים לתמוך בקבלת החלטות לגבי חלוקת תגמולים או ביצוע שינויים בכוח האדם, בהתאם לתפוקות בפועל.</t>
    </r>
  </si>
  <si>
    <r>
      <rPr>
        <b/>
        <sz val="12"/>
        <color theme="1"/>
        <rFont val="Calibri"/>
        <family val="2"/>
        <charset val="204"/>
        <scheme val="minor"/>
      </rPr>
      <t>מסקנות:</t>
    </r>
    <r>
      <rPr>
        <sz val="12"/>
        <color theme="1"/>
        <rFont val="Calibri"/>
        <family val="2"/>
        <charset val="204"/>
        <scheme val="minor"/>
      </rPr>
      <t xml:space="preserve"> בהתבסס על נתונים אלו, תוכל לעקוב אחר איזה סוכן ביצע את נפח המכירות הגדול ביותר בחודש נתון או באופן כללי במשך כל התקופה המוצגת בטבלה.
 זה גם מאפשר לנו לעקוב אחר יציבות התוצאות, ירידות עונתיות או שיאים עבור סוכנים ספציפיים.</t>
    </r>
  </si>
  <si>
    <r>
      <rPr>
        <b/>
        <sz val="12"/>
        <color theme="1"/>
        <rFont val="Calibri"/>
        <family val="2"/>
        <charset val="204"/>
        <scheme val="minor"/>
      </rPr>
      <t>המלצות:</t>
    </r>
    <r>
      <rPr>
        <sz val="12"/>
        <color theme="1"/>
        <rFont val="Calibri"/>
        <family val="2"/>
        <charset val="204"/>
        <scheme val="minor"/>
      </rPr>
      <t xml:space="preserve"> בהתבסס על ממצאי הטבלה, מומלץ להתמקד בהרחבת המלאי של המוצרים הרווחיים ביותר בכל סניף.
בנוסף, ניתן לשקול העתקת אסטרטגיות שיווק או מכירה מסניפים רווחיים לאחרים שבהם נמכרים אותם מוצרים אך הרווחיות נמוכה יותר.</t>
    </r>
  </si>
  <si>
    <r>
      <rPr>
        <b/>
        <sz val="12"/>
        <color theme="1"/>
        <rFont val="Calibri"/>
        <family val="2"/>
        <charset val="204"/>
        <scheme val="minor"/>
      </rPr>
      <t>מסקנות:</t>
    </r>
    <r>
      <rPr>
        <sz val="12"/>
        <color theme="1"/>
        <rFont val="Calibri"/>
        <family val="2"/>
        <charset val="204"/>
        <scheme val="minor"/>
      </rPr>
      <t xml:space="preserve"> הטבלה מאפשרת לזהות אילו סוכנים מוכרים מוצרים בצורה רווחית יותר בממוצע, גם אם לא בהכרח מוכרים בכמות הגבוהה ביותר.
ניתן גם לבדוק האם קיימים הבדלים משמעותיים ברווחיות בין המוצרים, על ידי שימוש בפילטר על המוצר.
שילוב בין רווח ממוצע לכמות שנמכרה מאפשר לבחון את יעילות הסוכן ולא רק את נפח הפעילות שלו.</t>
    </r>
  </si>
  <si>
    <r>
      <rPr>
        <b/>
        <sz val="12"/>
        <color theme="1"/>
        <rFont val="Calibri"/>
        <family val="2"/>
        <charset val="204"/>
        <scheme val="minor"/>
      </rPr>
      <t>המלצה:</t>
    </r>
    <r>
      <rPr>
        <sz val="12"/>
        <color theme="1"/>
        <rFont val="Calibri"/>
        <family val="2"/>
        <charset val="204"/>
        <scheme val="minor"/>
      </rPr>
      <t xml:space="preserve"> מומלץ לתגמל סוכנים לא רק לפי כמות המכירות, אלא גם לפי הרווחיות הממוצעת לעסקה.
ניתן לבצע הכשרה ממוקדת לסוכנים שמוכרים הרבה אך ברווחיות נמוכה, כדי לשפר את שיקול הדעת בתמחור ומו"מ.
אם נמצא שמוצרים מסוימים רווחיים משמעותית יותר, יש לשקול לקדם אותם באופן יזום (באמצעות מבצעים או תמריצים).</t>
    </r>
  </si>
  <si>
    <r>
      <rPr>
        <b/>
        <sz val="12"/>
        <color theme="1"/>
        <rFont val="Calibri"/>
        <family val="2"/>
        <charset val="204"/>
        <scheme val="minor"/>
      </rPr>
      <t>מסקנות:</t>
    </r>
    <r>
      <rPr>
        <sz val="12"/>
        <color theme="1"/>
        <rFont val="Calibri"/>
        <family val="2"/>
        <charset val="204"/>
        <scheme val="minor"/>
      </rPr>
      <t xml:space="preserve"> על סמך נתונים אלו, ניתן לזהות אילו מוצרים מביאים את הרווחיות הגבוהה ביותר ואילו סניפים מצליחים למכור את המוצרים הללו באופן רווחי לאורך זמן.</t>
    </r>
  </si>
  <si>
    <r>
      <rPr>
        <b/>
        <sz val="12"/>
        <color theme="1"/>
        <rFont val="Calibri"/>
        <family val="2"/>
        <charset val="204"/>
        <scheme val="minor"/>
      </rPr>
      <t>המלצות:</t>
    </r>
    <r>
      <rPr>
        <sz val="12"/>
        <color theme="1"/>
        <rFont val="Calibri"/>
        <family val="2"/>
        <charset val="204"/>
        <scheme val="minor"/>
      </rPr>
      <t xml:space="preserve"> בהתבסס על הנתונים, ניתן להיערך לעונות שיא במכירה של מוצרים מסוימים.
מומלץ לוודא זמינות מלאי מספקת בתקופות אלו, ולשקול קמפיינים שיווקיים מתוזמנים בהתאם לעונתיות.</t>
    </r>
  </si>
  <si>
    <r>
      <rPr>
        <b/>
        <sz val="12"/>
        <color theme="1"/>
        <rFont val="Calibri"/>
        <family val="2"/>
        <charset val="204"/>
        <scheme val="minor"/>
      </rPr>
      <t>מסקנות:</t>
    </r>
    <r>
      <rPr>
        <sz val="12"/>
        <color theme="1"/>
        <rFont val="Calibri"/>
        <family val="2"/>
        <charset val="204"/>
        <scheme val="minor"/>
      </rPr>
      <t xml:space="preserve"> על סמך נתונים אלו, ניתן לראות כיצד הביקוש למוצר משתנה בהתאם לעונה.</t>
    </r>
    <r>
      <rPr>
        <sz val="11"/>
        <color theme="1"/>
        <rFont val="Calibri"/>
        <family val="2"/>
        <scheme val="minor"/>
      </rPr>
      <t xml:space="preserve"> </t>
    </r>
  </si>
  <si>
    <r>
      <rPr>
        <b/>
        <sz val="12"/>
        <color theme="1"/>
        <rFont val="Calibri"/>
        <family val="2"/>
        <charset val="204"/>
        <scheme val="minor"/>
      </rPr>
      <t>מסקנות:</t>
    </r>
    <r>
      <rPr>
        <sz val="12"/>
        <color theme="1"/>
        <rFont val="Calibri"/>
        <family val="2"/>
        <charset val="204"/>
        <scheme val="minor"/>
      </rPr>
      <t xml:space="preserve"> 
בנוסף להשוואה בין מגוון המוצרים והיקף המכירות, ניתן לבדוק האם יש חנויות שמוכרות מגוון מצומצם אך מייצרות הכנסה גבוהה — דבר שעשוי להעיד על התמחות או יעילות.
לעומת זאת, חנות עם מגוון רחב אך מכירות נמוכות עלולה להעיד על חוסר מיקוד או צורך באופטימיזציה של המלאי. </t>
    </r>
  </si>
  <si>
    <r>
      <rPr>
        <b/>
        <sz val="12"/>
        <color theme="1"/>
        <rFont val="Calibri"/>
        <family val="2"/>
        <charset val="204"/>
        <scheme val="minor"/>
      </rPr>
      <t>המלצות:</t>
    </r>
    <r>
      <rPr>
        <sz val="12"/>
        <color theme="1"/>
        <rFont val="Calibri"/>
        <family val="2"/>
        <charset val="204"/>
        <scheme val="minor"/>
      </rPr>
      <t xml:space="preserve"> 
אם נמצא קשר בין מגוון מוצרים להיקף המכירות, כדאי לבחון הרחבת הקטלוג בסניפים עם מגוון נמוך.
בנוסף, יש לשקול להתמקד במוצרים שמייצרים את מירב ההכנסות ולצמצם את אלה שפחות נמכרים — לטובת שיפור יעילות תפעולית וניהול מלאי.</t>
    </r>
  </si>
  <si>
    <t>ספק</t>
  </si>
  <si>
    <t>ספק ב</t>
  </si>
  <si>
    <t>ספק א</t>
  </si>
  <si>
    <t>ספק ג</t>
  </si>
  <si>
    <t>ספק ד</t>
  </si>
  <si>
    <t>ספק ה</t>
  </si>
  <si>
    <r>
      <rPr>
        <b/>
        <sz val="12"/>
        <color theme="1"/>
        <rFont val="Calibri"/>
        <family val="2"/>
        <charset val="204"/>
        <scheme val="minor"/>
      </rPr>
      <t xml:space="preserve">מסקנות: </t>
    </r>
    <r>
      <rPr>
        <sz val="12"/>
        <color theme="1"/>
        <rFont val="Calibri"/>
        <family val="2"/>
        <charset val="204"/>
        <scheme val="minor"/>
      </rPr>
      <t xml:space="preserve">
ניתן לזהות אילו מוצרים יקרים יותר לרכישה בסניפים מסוימים, ולבחון האם מדובר בעלויות לוגיסטיות או הבדלים בין ספקים.
אם נזהה עלויות חריגות, ניתן לבחון הזדמנויות לחיסכון.</t>
    </r>
  </si>
  <si>
    <r>
      <rPr>
        <b/>
        <sz val="12"/>
        <color theme="1"/>
        <rFont val="Calibri"/>
        <family val="2"/>
        <charset val="204"/>
        <scheme val="minor"/>
      </rPr>
      <t xml:space="preserve">המלצות: </t>
    </r>
    <r>
      <rPr>
        <sz val="12"/>
        <color theme="1"/>
        <rFont val="Calibri"/>
        <family val="2"/>
        <charset val="204"/>
        <scheme val="minor"/>
      </rPr>
      <t xml:space="preserve">
לבצע השוואת עלויות בין הסניפים ולבחון אפשרות לאחד חלק מההזמנות או לעבור לספקים עם עלות נמוכה יותר, מבלי לפגוע באיכות המוצר.</t>
    </r>
  </si>
  <si>
    <t>הלוואה</t>
  </si>
  <si>
    <t>ריבית שנתית</t>
  </si>
  <si>
    <t>תקופה שנתית</t>
  </si>
  <si>
    <t>תקופה חודשית</t>
  </si>
  <si>
    <t>ריבית חודשית</t>
  </si>
  <si>
    <t>החזר חודשי</t>
  </si>
  <si>
    <t>תרחיש1</t>
  </si>
  <si>
    <t>Автор: Huawei , 23.04.2025</t>
  </si>
  <si>
    <t>תרחיש2</t>
  </si>
  <si>
    <t>תרחיש3</t>
  </si>
  <si>
    <t>תקופה_שנתית</t>
  </si>
  <si>
    <t>ריבית_שנתית</t>
  </si>
  <si>
    <t>Автор: Huawei , 23.04.2025
Автор изменений: Huawei , 23.04.2025</t>
  </si>
  <si>
    <t>החזר_חודשי</t>
  </si>
  <si>
    <t>Column Labels</t>
  </si>
  <si>
    <t>Row Labels</t>
  </si>
  <si>
    <t>Grand Total</t>
  </si>
  <si>
    <t>(All)</t>
  </si>
  <si>
    <t>Sum of היקף מכירות בש"ח</t>
  </si>
  <si>
    <t>Sum of רווח גולמי בש"ח</t>
  </si>
  <si>
    <t>Sum of כמות שנמכרה</t>
  </si>
  <si>
    <t>Count of מוצר</t>
  </si>
  <si>
    <t>Min of עלות ליחידה בש"ח</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</si>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</sst>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164" formatCode="_-* #,##0.00\ _₽_-;\-* #,##0.00\ _₽_-;_-* &quot;-&quot;??\ _₽_-;_-@_-"/>
    <numFmt numFmtId="165" formatCode="_ [$₪-40D]\ * #,##0_ ;_ [$₪-40D]\ * \-#,##0_ ;_ [$₪-40D]\ * &quot;-&quot;_ ;_ @_ "/>
    <numFmt numFmtId="166" formatCode="0.000%"/>
    <numFmt numFmtId="167" formatCode="0.0"/>
    <numFmt numFmtId="168" formatCode="_ [$₪-40D]\ * #,##0.00_ ;_ [$₪-40D]\ * \-#,##0.00_ ;_ [$₪-40D]\ * &quot;-&quot;??_ ;_ @_ "/>
  </numFmts>
  <fonts count="12" x14ac:knownFonts="1">
    <font>
      <sz val="11"/>
      <color theme="1"/>
      <name val="Calibri"/>
      <family val="2"/>
      <scheme val="minor"/>
    </font>
    <font>
      <sz val="11"/>
      <color theme="1"/>
      <name val="Calibri"/>
      <family val="2"/>
      <charset val="204"/>
      <scheme val="minor"/>
    </font>
    <font>
      <b/>
      <sz val="12"/>
      <color theme="1"/>
      <name val="Calibri"/>
      <family val="2"/>
      <charset val="204"/>
      <scheme val="minor"/>
    </font>
    <font>
      <sz val="12"/>
      <color theme="1"/>
      <name val="Calibri"/>
      <family val="2"/>
      <charset val="204"/>
      <scheme val="minor"/>
    </font>
    <font>
      <b/>
      <sz val="12"/>
      <color theme="1"/>
      <name val="Calibri"/>
      <family val="2"/>
      <scheme val="minor"/>
    </font>
    <font>
      <sz val="12"/>
      <color theme="1"/>
      <name val="Calibri"/>
      <family val="2"/>
      <scheme val="minor"/>
    </font>
    <font>
      <sz val="11"/>
      <color theme="1"/>
      <name val="Calibri"/>
      <family val="2"/>
      <scheme val="minor"/>
    </font>
    <font>
      <sz val="10"/>
      <color indexed="9"/>
      <name val="Calibri"/>
      <family val="2"/>
      <scheme val="minor"/>
    </font>
    <font>
      <sz val="8"/>
      <color theme="1"/>
      <name val="Calibri"/>
      <family val="2"/>
      <charset val="204"/>
      <scheme val="minor"/>
    </font>
    <font>
      <b/>
      <sz val="12"/>
      <color indexed="9"/>
      <name val="Calibri"/>
      <family val="2"/>
      <scheme val="minor"/>
    </font>
    <font>
      <b/>
      <sz val="11"/>
      <color indexed="8"/>
      <name val="Calibri"/>
      <family val="2"/>
      <scheme val="minor"/>
    </font>
    <font>
      <b/>
      <sz val="11"/>
      <color indexed="18"/>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6">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164" fontId="6" fillId="0" borderId="0" applyFont="0" applyFill="0" applyBorder="0" applyAlignment="0" applyProtection="0"/>
    <xf numFmtId="9" fontId="6" fillId="0" borderId="0" applyFont="0" applyFill="0" applyBorder="0" applyAlignment="0" applyProtection="0"/>
  </cellStyleXfs>
  <cellXfs count="45">
    <xf numFmtId="0" fontId="0" fillId="0" borderId="0" xfId="0"/>
    <xf numFmtId="0" fontId="0" fillId="0" borderId="1" xfId="0" applyBorder="1"/>
    <xf numFmtId="0" fontId="3" fillId="0" borderId="0" xfId="0" applyFont="1" applyAlignment="1">
      <alignment horizontal="right" wrapText="1"/>
    </xf>
    <xf numFmtId="0" fontId="3" fillId="0" borderId="0" xfId="0" applyFont="1" applyAlignment="1">
      <alignment wrapText="1"/>
    </xf>
    <xf numFmtId="0" fontId="0" fillId="0" borderId="1" xfId="0" pivotButton="1" applyBorder="1"/>
    <xf numFmtId="0" fontId="0" fillId="0" borderId="1" xfId="0" applyBorder="1" applyAlignment="1">
      <alignment horizontal="right"/>
    </xf>
    <xf numFmtId="0" fontId="0" fillId="0" borderId="1" xfId="0" applyNumberFormat="1" applyBorder="1"/>
    <xf numFmtId="0" fontId="3" fillId="0" borderId="0" xfId="0" applyFont="1" applyFill="1" applyBorder="1" applyAlignment="1">
      <alignment horizontal="right" wrapText="1"/>
    </xf>
    <xf numFmtId="0" fontId="1" fillId="0" borderId="0" xfId="0" applyFont="1" applyFill="1" applyBorder="1" applyAlignment="1">
      <alignment horizontal="right"/>
    </xf>
    <xf numFmtId="0" fontId="4" fillId="2" borderId="1" xfId="0" applyFont="1" applyFill="1" applyBorder="1" applyAlignment="1">
      <alignment horizontal="center" vertical="top"/>
    </xf>
    <xf numFmtId="0" fontId="5" fillId="0" borderId="1" xfId="0" applyFont="1" applyBorder="1"/>
    <xf numFmtId="0" fontId="5" fillId="2" borderId="1" xfId="0" applyFont="1" applyFill="1" applyBorder="1"/>
    <xf numFmtId="165" fontId="5" fillId="0" borderId="1" xfId="1" applyNumberFormat="1" applyFont="1" applyBorder="1"/>
    <xf numFmtId="9" fontId="5" fillId="0" borderId="1" xfId="2" applyFont="1" applyBorder="1"/>
    <xf numFmtId="166" fontId="0" fillId="0" borderId="1" xfId="2" applyNumberFormat="1" applyFont="1" applyBorder="1"/>
    <xf numFmtId="8" fontId="0" fillId="0" borderId="0" xfId="0" applyNumberFormat="1"/>
    <xf numFmtId="168" fontId="0" fillId="0" borderId="1" xfId="0" applyNumberFormat="1" applyBorder="1"/>
    <xf numFmtId="0" fontId="5" fillId="3" borderId="1" xfId="0" applyFont="1" applyFill="1" applyBorder="1"/>
    <xf numFmtId="0" fontId="0" fillId="2" borderId="0" xfId="0" applyFill="1"/>
    <xf numFmtId="0" fontId="0" fillId="3" borderId="0" xfId="0" applyFill="1"/>
    <xf numFmtId="0" fontId="0" fillId="3" borderId="1" xfId="0" applyFill="1" applyBorder="1"/>
    <xf numFmtId="0" fontId="0" fillId="2" borderId="1" xfId="0" applyFill="1" applyBorder="1"/>
    <xf numFmtId="9" fontId="0" fillId="0" borderId="1" xfId="2" applyFont="1" applyBorder="1"/>
    <xf numFmtId="168" fontId="0" fillId="4" borderId="1" xfId="0" applyNumberFormat="1" applyFill="1" applyBorder="1"/>
    <xf numFmtId="166" fontId="0" fillId="3" borderId="1" xfId="2" applyNumberFormat="1" applyFont="1" applyFill="1" applyBorder="1"/>
    <xf numFmtId="168" fontId="0" fillId="0" borderId="0" xfId="0" applyNumberFormat="1"/>
    <xf numFmtId="0" fontId="0" fillId="0" borderId="0" xfId="0" applyFill="1" applyBorder="1" applyAlignment="1"/>
    <xf numFmtId="165" fontId="0" fillId="0" borderId="0" xfId="0" applyNumberFormat="1" applyFill="1" applyBorder="1" applyAlignment="1"/>
    <xf numFmtId="9" fontId="0" fillId="0" borderId="0" xfId="0" applyNumberFormat="1" applyFill="1" applyBorder="1" applyAlignment="1"/>
    <xf numFmtId="168" fontId="0" fillId="0" borderId="3" xfId="0" applyNumberFormat="1" applyFill="1" applyBorder="1" applyAlignment="1"/>
    <xf numFmtId="0" fontId="0" fillId="0" borderId="5" xfId="0" applyFill="1" applyBorder="1" applyAlignment="1"/>
    <xf numFmtId="0" fontId="7" fillId="5" borderId="2" xfId="0" applyFont="1" applyFill="1" applyBorder="1" applyAlignment="1">
      <alignment horizontal="right"/>
    </xf>
    <xf numFmtId="0" fontId="7" fillId="5" borderId="4" xfId="0" applyFont="1" applyFill="1" applyBorder="1" applyAlignment="1">
      <alignment horizontal="right"/>
    </xf>
    <xf numFmtId="165" fontId="0" fillId="7" borderId="0" xfId="0" applyNumberFormat="1" applyFill="1" applyBorder="1" applyAlignment="1"/>
    <xf numFmtId="0" fontId="0" fillId="7" borderId="0" xfId="0" applyFill="1" applyBorder="1" applyAlignment="1"/>
    <xf numFmtId="9" fontId="0" fillId="7" borderId="0" xfId="0" applyNumberFormat="1" applyFill="1" applyBorder="1" applyAlignment="1"/>
    <xf numFmtId="0" fontId="8" fillId="0" borderId="0" xfId="0" applyFont="1" applyFill="1" applyBorder="1" applyAlignment="1">
      <alignment vertical="top" wrapText="1"/>
    </xf>
    <xf numFmtId="167" fontId="0" fillId="0" borderId="1" xfId="0" applyNumberFormat="1" applyBorder="1"/>
    <xf numFmtId="166" fontId="0" fillId="0" borderId="0" xfId="2" applyNumberFormat="1" applyFont="1"/>
    <xf numFmtId="167" fontId="5" fillId="0" borderId="1" xfId="0" applyNumberFormat="1" applyFont="1" applyBorder="1"/>
    <xf numFmtId="0" fontId="9" fillId="5" borderId="4" xfId="0" applyFont="1" applyFill="1" applyBorder="1" applyAlignment="1">
      <alignment horizontal="left"/>
    </xf>
    <xf numFmtId="0" fontId="9" fillId="5" borderId="2" xfId="0" applyFont="1" applyFill="1" applyBorder="1" applyAlignment="1">
      <alignment horizontal="left"/>
    </xf>
    <xf numFmtId="0" fontId="10" fillId="6" borderId="0" xfId="0" applyFont="1" applyFill="1" applyBorder="1" applyAlignment="1">
      <alignment horizontal="left"/>
    </xf>
    <xf numFmtId="0" fontId="11" fillId="6" borderId="5" xfId="0" applyFont="1" applyFill="1" applyBorder="1" applyAlignment="1">
      <alignment horizontal="left"/>
    </xf>
    <xf numFmtId="0" fontId="10" fillId="6" borderId="3" xfId="0" applyFont="1" applyFill="1" applyBorder="1" applyAlignment="1">
      <alignment horizontal="left"/>
    </xf>
  </cellXfs>
  <cellStyles count="3">
    <cellStyle name="Comma" xfId="1" builtinId="3"/>
    <cellStyle name="Normal" xfId="0" builtinId="0"/>
    <cellStyle name="Percent" xfId="2" builtinId="5"/>
  </cellStyles>
  <dxfs count="5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Table.xlsx]סעיף 3.6!Сводная таблица6</c:name>
    <c:fmtId val="1"/>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'סעיף 3.6'!$B$3:$B$4</c:f>
              <c:strCache>
                <c:ptCount val="1"/>
                <c:pt idx="0">
                  <c:v>טלוויזיה</c:v>
                </c:pt>
              </c:strCache>
            </c:strRef>
          </c:tx>
          <c:spPr>
            <a:solidFill>
              <a:schemeClr val="accent1"/>
            </a:solidFill>
            <a:ln>
              <a:noFill/>
            </a:ln>
            <a:effectLst/>
            <a:sp3d/>
          </c:spPr>
          <c:invertIfNegative val="0"/>
          <c:cat>
            <c:strRef>
              <c:f>'סעיף 3.6'!$A$5:$A$10</c:f>
              <c:strCache>
                <c:ptCount val="5"/>
                <c:pt idx="0">
                  <c:v>ספק א</c:v>
                </c:pt>
                <c:pt idx="1">
                  <c:v>ספק ב</c:v>
                </c:pt>
                <c:pt idx="2">
                  <c:v>ספק ג</c:v>
                </c:pt>
                <c:pt idx="3">
                  <c:v>ספק ד</c:v>
                </c:pt>
                <c:pt idx="4">
                  <c:v>ספק ה</c:v>
                </c:pt>
              </c:strCache>
            </c:strRef>
          </c:cat>
          <c:val>
            <c:numRef>
              <c:f>'סעיף 3.6'!$B$5:$B$10</c:f>
              <c:numCache>
                <c:formatCode>General</c:formatCode>
                <c:ptCount val="5"/>
                <c:pt idx="2">
                  <c:v>306</c:v>
                </c:pt>
                <c:pt idx="3">
                  <c:v>431</c:v>
                </c:pt>
              </c:numCache>
            </c:numRef>
          </c:val>
          <c:extLst>
            <c:ext xmlns:c16="http://schemas.microsoft.com/office/drawing/2014/chart" uri="{C3380CC4-5D6E-409C-BE32-E72D297353CC}">
              <c16:uniqueId val="{00000000-E56E-423E-900A-97A73A192F27}"/>
            </c:ext>
          </c:extLst>
        </c:ser>
        <c:ser>
          <c:idx val="1"/>
          <c:order val="1"/>
          <c:tx>
            <c:strRef>
              <c:f>'סעיף 3.6'!$C$3:$C$4</c:f>
              <c:strCache>
                <c:ptCount val="1"/>
                <c:pt idx="0">
                  <c:v>טלפון</c:v>
                </c:pt>
              </c:strCache>
            </c:strRef>
          </c:tx>
          <c:spPr>
            <a:solidFill>
              <a:schemeClr val="accent2"/>
            </a:solidFill>
            <a:ln>
              <a:noFill/>
            </a:ln>
            <a:effectLst/>
            <a:sp3d/>
          </c:spPr>
          <c:invertIfNegative val="0"/>
          <c:cat>
            <c:strRef>
              <c:f>'סעיף 3.6'!$A$5:$A$10</c:f>
              <c:strCache>
                <c:ptCount val="5"/>
                <c:pt idx="0">
                  <c:v>ספק א</c:v>
                </c:pt>
                <c:pt idx="1">
                  <c:v>ספק ב</c:v>
                </c:pt>
                <c:pt idx="2">
                  <c:v>ספק ג</c:v>
                </c:pt>
                <c:pt idx="3">
                  <c:v>ספק ד</c:v>
                </c:pt>
                <c:pt idx="4">
                  <c:v>ספק ה</c:v>
                </c:pt>
              </c:strCache>
            </c:strRef>
          </c:cat>
          <c:val>
            <c:numRef>
              <c:f>'סעיף 3.6'!$C$5:$C$10</c:f>
              <c:numCache>
                <c:formatCode>General</c:formatCode>
                <c:ptCount val="5"/>
                <c:pt idx="1">
                  <c:v>302</c:v>
                </c:pt>
                <c:pt idx="2">
                  <c:v>505</c:v>
                </c:pt>
              </c:numCache>
            </c:numRef>
          </c:val>
          <c:extLst>
            <c:ext xmlns:c16="http://schemas.microsoft.com/office/drawing/2014/chart" uri="{C3380CC4-5D6E-409C-BE32-E72D297353CC}">
              <c16:uniqueId val="{00000001-E56E-423E-900A-97A73A192F27}"/>
            </c:ext>
          </c:extLst>
        </c:ser>
        <c:ser>
          <c:idx val="2"/>
          <c:order val="2"/>
          <c:tx>
            <c:strRef>
              <c:f>'סעיף 3.6'!$D$3:$D$4</c:f>
              <c:strCache>
                <c:ptCount val="1"/>
                <c:pt idx="0">
                  <c:v>מזגן</c:v>
                </c:pt>
              </c:strCache>
            </c:strRef>
          </c:tx>
          <c:spPr>
            <a:solidFill>
              <a:schemeClr val="accent3"/>
            </a:solidFill>
            <a:ln>
              <a:noFill/>
            </a:ln>
            <a:effectLst/>
            <a:sp3d/>
          </c:spPr>
          <c:invertIfNegative val="0"/>
          <c:cat>
            <c:strRef>
              <c:f>'סעיף 3.6'!$A$5:$A$10</c:f>
              <c:strCache>
                <c:ptCount val="5"/>
                <c:pt idx="0">
                  <c:v>ספק א</c:v>
                </c:pt>
                <c:pt idx="1">
                  <c:v>ספק ב</c:v>
                </c:pt>
                <c:pt idx="2">
                  <c:v>ספק ג</c:v>
                </c:pt>
                <c:pt idx="3">
                  <c:v>ספק ד</c:v>
                </c:pt>
                <c:pt idx="4">
                  <c:v>ספק ה</c:v>
                </c:pt>
              </c:strCache>
            </c:strRef>
          </c:cat>
          <c:val>
            <c:numRef>
              <c:f>'סעיף 3.6'!$D$5:$D$10</c:f>
              <c:numCache>
                <c:formatCode>General</c:formatCode>
                <c:ptCount val="5"/>
                <c:pt idx="0">
                  <c:v>492</c:v>
                </c:pt>
                <c:pt idx="2">
                  <c:v>324</c:v>
                </c:pt>
              </c:numCache>
            </c:numRef>
          </c:val>
          <c:extLst>
            <c:ext xmlns:c16="http://schemas.microsoft.com/office/drawing/2014/chart" uri="{C3380CC4-5D6E-409C-BE32-E72D297353CC}">
              <c16:uniqueId val="{00000002-E56E-423E-900A-97A73A192F27}"/>
            </c:ext>
          </c:extLst>
        </c:ser>
        <c:ser>
          <c:idx val="3"/>
          <c:order val="3"/>
          <c:tx>
            <c:strRef>
              <c:f>'סעיף 3.6'!$E$3:$E$4</c:f>
              <c:strCache>
                <c:ptCount val="1"/>
                <c:pt idx="0">
                  <c:v>מחשב נייד</c:v>
                </c:pt>
              </c:strCache>
            </c:strRef>
          </c:tx>
          <c:spPr>
            <a:solidFill>
              <a:schemeClr val="accent4"/>
            </a:solidFill>
            <a:ln>
              <a:noFill/>
            </a:ln>
            <a:effectLst/>
            <a:sp3d/>
          </c:spPr>
          <c:invertIfNegative val="0"/>
          <c:cat>
            <c:strRef>
              <c:f>'סעיף 3.6'!$A$5:$A$10</c:f>
              <c:strCache>
                <c:ptCount val="5"/>
                <c:pt idx="0">
                  <c:v>ספק א</c:v>
                </c:pt>
                <c:pt idx="1">
                  <c:v>ספק ב</c:v>
                </c:pt>
                <c:pt idx="2">
                  <c:v>ספק ג</c:v>
                </c:pt>
                <c:pt idx="3">
                  <c:v>ספק ד</c:v>
                </c:pt>
                <c:pt idx="4">
                  <c:v>ספק ה</c:v>
                </c:pt>
              </c:strCache>
            </c:strRef>
          </c:cat>
          <c:val>
            <c:numRef>
              <c:f>'סעיף 3.6'!$E$5:$E$10</c:f>
              <c:numCache>
                <c:formatCode>General</c:formatCode>
                <c:ptCount val="5"/>
                <c:pt idx="3">
                  <c:v>521</c:v>
                </c:pt>
                <c:pt idx="4">
                  <c:v>314</c:v>
                </c:pt>
              </c:numCache>
            </c:numRef>
          </c:val>
          <c:extLst>
            <c:ext xmlns:c16="http://schemas.microsoft.com/office/drawing/2014/chart" uri="{C3380CC4-5D6E-409C-BE32-E72D297353CC}">
              <c16:uniqueId val="{00000003-E56E-423E-900A-97A73A192F27}"/>
            </c:ext>
          </c:extLst>
        </c:ser>
        <c:ser>
          <c:idx val="4"/>
          <c:order val="4"/>
          <c:tx>
            <c:strRef>
              <c:f>'סעיף 3.6'!$F$3:$F$4</c:f>
              <c:strCache>
                <c:ptCount val="1"/>
                <c:pt idx="0">
                  <c:v>מקרר</c:v>
                </c:pt>
              </c:strCache>
            </c:strRef>
          </c:tx>
          <c:spPr>
            <a:solidFill>
              <a:schemeClr val="accent5"/>
            </a:solidFill>
            <a:ln>
              <a:noFill/>
            </a:ln>
            <a:effectLst/>
            <a:sp3d/>
          </c:spPr>
          <c:invertIfNegative val="0"/>
          <c:cat>
            <c:strRef>
              <c:f>'סעיף 3.6'!$A$5:$A$10</c:f>
              <c:strCache>
                <c:ptCount val="5"/>
                <c:pt idx="0">
                  <c:v>ספק א</c:v>
                </c:pt>
                <c:pt idx="1">
                  <c:v>ספק ב</c:v>
                </c:pt>
                <c:pt idx="2">
                  <c:v>ספק ג</c:v>
                </c:pt>
                <c:pt idx="3">
                  <c:v>ספק ד</c:v>
                </c:pt>
                <c:pt idx="4">
                  <c:v>ספק ה</c:v>
                </c:pt>
              </c:strCache>
            </c:strRef>
          </c:cat>
          <c:val>
            <c:numRef>
              <c:f>'סעיף 3.6'!$F$5:$F$10</c:f>
              <c:numCache>
                <c:formatCode>General</c:formatCode>
                <c:ptCount val="5"/>
                <c:pt idx="0">
                  <c:v>772</c:v>
                </c:pt>
                <c:pt idx="1">
                  <c:v>747</c:v>
                </c:pt>
              </c:numCache>
            </c:numRef>
          </c:val>
          <c:extLst>
            <c:ext xmlns:c16="http://schemas.microsoft.com/office/drawing/2014/chart" uri="{C3380CC4-5D6E-409C-BE32-E72D297353CC}">
              <c16:uniqueId val="{00000004-E56E-423E-900A-97A73A192F27}"/>
            </c:ext>
          </c:extLst>
        </c:ser>
        <c:dLbls>
          <c:showLegendKey val="0"/>
          <c:showVal val="0"/>
          <c:showCatName val="0"/>
          <c:showSerName val="0"/>
          <c:showPercent val="0"/>
          <c:showBubbleSize val="0"/>
        </c:dLbls>
        <c:gapWidth val="150"/>
        <c:shape val="box"/>
        <c:axId val="419760264"/>
        <c:axId val="419769448"/>
        <c:axId val="0"/>
      </c:bar3DChart>
      <c:catAx>
        <c:axId val="419760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69448"/>
        <c:crosses val="autoZero"/>
        <c:auto val="1"/>
        <c:lblAlgn val="ctr"/>
        <c:lblOffset val="100"/>
        <c:noMultiLvlLbl val="0"/>
      </c:catAx>
      <c:valAx>
        <c:axId val="419769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60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Table.xlsx]סעיף 3.5!Сводная таблица5</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'סעיף 3.5'!$B$3</c:f>
              <c:strCache>
                <c:ptCount val="1"/>
                <c:pt idx="0">
                  <c:v>Count of מוצר</c:v>
                </c:pt>
              </c:strCache>
            </c:strRef>
          </c:tx>
          <c:spPr>
            <a:solidFill>
              <a:schemeClr val="accent1"/>
            </a:solidFill>
            <a:ln>
              <a:noFill/>
            </a:ln>
            <a:effectLst/>
            <a:sp3d/>
          </c:spPr>
          <c:invertIfNegative val="0"/>
          <c:cat>
            <c:strRef>
              <c:f>'סעיף 3.5'!$A$4:$A$8</c:f>
              <c:strCache>
                <c:ptCount val="4"/>
                <c:pt idx="0">
                  <c:v>חנות באר שבע</c:v>
                </c:pt>
                <c:pt idx="1">
                  <c:v>חנות חיפה</c:v>
                </c:pt>
                <c:pt idx="2">
                  <c:v>חנות ירושלים</c:v>
                </c:pt>
                <c:pt idx="3">
                  <c:v>חנות תל אביב</c:v>
                </c:pt>
              </c:strCache>
            </c:strRef>
          </c:cat>
          <c:val>
            <c:numRef>
              <c:f>'סעיף 3.5'!$B$4:$B$8</c:f>
              <c:numCache>
                <c:formatCode>General</c:formatCode>
                <c:ptCount val="4"/>
                <c:pt idx="0">
                  <c:v>22</c:v>
                </c:pt>
                <c:pt idx="1">
                  <c:v>31</c:v>
                </c:pt>
                <c:pt idx="2">
                  <c:v>22</c:v>
                </c:pt>
                <c:pt idx="3">
                  <c:v>25</c:v>
                </c:pt>
              </c:numCache>
            </c:numRef>
          </c:val>
          <c:extLst>
            <c:ext xmlns:c16="http://schemas.microsoft.com/office/drawing/2014/chart" uri="{C3380CC4-5D6E-409C-BE32-E72D297353CC}">
              <c16:uniqueId val="{00000000-DC39-4A14-B618-BC42F6CAADE3}"/>
            </c:ext>
          </c:extLst>
        </c:ser>
        <c:ser>
          <c:idx val="1"/>
          <c:order val="1"/>
          <c:tx>
            <c:strRef>
              <c:f>'סעיף 3.5'!$C$3</c:f>
              <c:strCache>
                <c:ptCount val="1"/>
                <c:pt idx="0">
                  <c:v>Sum of היקף מכירות בש"ח</c:v>
                </c:pt>
              </c:strCache>
            </c:strRef>
          </c:tx>
          <c:spPr>
            <a:solidFill>
              <a:schemeClr val="accent2"/>
            </a:solidFill>
            <a:ln>
              <a:noFill/>
            </a:ln>
            <a:effectLst/>
            <a:sp3d/>
          </c:spPr>
          <c:invertIfNegative val="0"/>
          <c:cat>
            <c:strRef>
              <c:f>'סעיף 3.5'!$A$4:$A$8</c:f>
              <c:strCache>
                <c:ptCount val="4"/>
                <c:pt idx="0">
                  <c:v>חנות באר שבע</c:v>
                </c:pt>
                <c:pt idx="1">
                  <c:v>חנות חיפה</c:v>
                </c:pt>
                <c:pt idx="2">
                  <c:v>חנות ירושלים</c:v>
                </c:pt>
                <c:pt idx="3">
                  <c:v>חנות תל אביב</c:v>
                </c:pt>
              </c:strCache>
            </c:strRef>
          </c:cat>
          <c:val>
            <c:numRef>
              <c:f>'סעיף 3.5'!$C$4:$C$8</c:f>
              <c:numCache>
                <c:formatCode>General</c:formatCode>
                <c:ptCount val="4"/>
                <c:pt idx="0">
                  <c:v>415504</c:v>
                </c:pt>
                <c:pt idx="1">
                  <c:v>565275</c:v>
                </c:pt>
                <c:pt idx="2">
                  <c:v>380960</c:v>
                </c:pt>
                <c:pt idx="3">
                  <c:v>532288</c:v>
                </c:pt>
              </c:numCache>
            </c:numRef>
          </c:val>
          <c:extLst>
            <c:ext xmlns:c16="http://schemas.microsoft.com/office/drawing/2014/chart" uri="{C3380CC4-5D6E-409C-BE32-E72D297353CC}">
              <c16:uniqueId val="{00000002-024E-46B2-AB09-BBB9A2F6F344}"/>
            </c:ext>
          </c:extLst>
        </c:ser>
        <c:dLbls>
          <c:showLegendKey val="0"/>
          <c:showVal val="0"/>
          <c:showCatName val="0"/>
          <c:showSerName val="0"/>
          <c:showPercent val="0"/>
          <c:showBubbleSize val="0"/>
        </c:dLbls>
        <c:gapWidth val="150"/>
        <c:shape val="box"/>
        <c:axId val="495294456"/>
        <c:axId val="495289208"/>
        <c:axId val="408394520"/>
      </c:bar3DChart>
      <c:catAx>
        <c:axId val="495294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89208"/>
        <c:crosses val="autoZero"/>
        <c:auto val="1"/>
        <c:lblAlgn val="ctr"/>
        <c:lblOffset val="100"/>
        <c:noMultiLvlLbl val="0"/>
      </c:catAx>
      <c:valAx>
        <c:axId val="495289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94456"/>
        <c:crosses val="autoZero"/>
        <c:crossBetween val="between"/>
      </c:valAx>
      <c:serAx>
        <c:axId val="4083945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892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Table.xlsx]סעיף 3.4!Сводная таблица4</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'סעיף 3.4'!$B$3:$B$4</c:f>
              <c:strCache>
                <c:ptCount val="1"/>
                <c:pt idx="0">
                  <c:v>טלוויזיה</c:v>
                </c:pt>
              </c:strCache>
            </c:strRef>
          </c:tx>
          <c:spPr>
            <a:ln w="28575" cap="rnd">
              <a:solidFill>
                <a:schemeClr val="accent1"/>
              </a:solidFill>
              <a:round/>
            </a:ln>
            <a:effectLst/>
          </c:spPr>
          <c:marker>
            <c:symbol val="none"/>
          </c:marker>
          <c:cat>
            <c:strRef>
              <c:f>'סעיף 3.4'!$A$5:$A$11</c:f>
              <c:strCache>
                <c:ptCount val="6"/>
                <c:pt idx="0">
                  <c:v>אפריל</c:v>
                </c:pt>
                <c:pt idx="1">
                  <c:v>יוני</c:v>
                </c:pt>
                <c:pt idx="2">
                  <c:v>ינואר</c:v>
                </c:pt>
                <c:pt idx="3">
                  <c:v>מאי</c:v>
                </c:pt>
                <c:pt idx="4">
                  <c:v>מרץ</c:v>
                </c:pt>
                <c:pt idx="5">
                  <c:v>פברואר</c:v>
                </c:pt>
              </c:strCache>
            </c:strRef>
          </c:cat>
          <c:val>
            <c:numRef>
              <c:f>'סעיף 3.4'!$B$5:$B$11</c:f>
              <c:numCache>
                <c:formatCode>General</c:formatCode>
                <c:ptCount val="6"/>
                <c:pt idx="0">
                  <c:v>14</c:v>
                </c:pt>
                <c:pt idx="1">
                  <c:v>17</c:v>
                </c:pt>
                <c:pt idx="2">
                  <c:v>53</c:v>
                </c:pt>
                <c:pt idx="3">
                  <c:v>42</c:v>
                </c:pt>
                <c:pt idx="4">
                  <c:v>44</c:v>
                </c:pt>
                <c:pt idx="5">
                  <c:v>32</c:v>
                </c:pt>
              </c:numCache>
            </c:numRef>
          </c:val>
          <c:smooth val="0"/>
          <c:extLst>
            <c:ext xmlns:c16="http://schemas.microsoft.com/office/drawing/2014/chart" uri="{C3380CC4-5D6E-409C-BE32-E72D297353CC}">
              <c16:uniqueId val="{00000000-00DC-4F79-8E1E-C7DC1D3C6F44}"/>
            </c:ext>
          </c:extLst>
        </c:ser>
        <c:ser>
          <c:idx val="1"/>
          <c:order val="1"/>
          <c:tx>
            <c:strRef>
              <c:f>'סעיף 3.4'!$C$3:$C$4</c:f>
              <c:strCache>
                <c:ptCount val="1"/>
                <c:pt idx="0">
                  <c:v>טלפון</c:v>
                </c:pt>
              </c:strCache>
            </c:strRef>
          </c:tx>
          <c:spPr>
            <a:ln w="28575" cap="rnd">
              <a:solidFill>
                <a:schemeClr val="accent2"/>
              </a:solidFill>
              <a:round/>
            </a:ln>
            <a:effectLst/>
          </c:spPr>
          <c:marker>
            <c:symbol val="none"/>
          </c:marker>
          <c:cat>
            <c:strRef>
              <c:f>'סעיף 3.4'!$A$5:$A$11</c:f>
              <c:strCache>
                <c:ptCount val="6"/>
                <c:pt idx="0">
                  <c:v>אפריל</c:v>
                </c:pt>
                <c:pt idx="1">
                  <c:v>יוני</c:v>
                </c:pt>
                <c:pt idx="2">
                  <c:v>ינואר</c:v>
                </c:pt>
                <c:pt idx="3">
                  <c:v>מאי</c:v>
                </c:pt>
                <c:pt idx="4">
                  <c:v>מרץ</c:v>
                </c:pt>
                <c:pt idx="5">
                  <c:v>פברואר</c:v>
                </c:pt>
              </c:strCache>
            </c:strRef>
          </c:cat>
          <c:val>
            <c:numRef>
              <c:f>'סעיף 3.4'!$C$5:$C$11</c:f>
              <c:numCache>
                <c:formatCode>General</c:formatCode>
                <c:ptCount val="6"/>
                <c:pt idx="0">
                  <c:v>21</c:v>
                </c:pt>
                <c:pt idx="1">
                  <c:v>93</c:v>
                </c:pt>
                <c:pt idx="2">
                  <c:v>49</c:v>
                </c:pt>
                <c:pt idx="3">
                  <c:v>24</c:v>
                </c:pt>
                <c:pt idx="4">
                  <c:v>19</c:v>
                </c:pt>
                <c:pt idx="5">
                  <c:v>42</c:v>
                </c:pt>
              </c:numCache>
            </c:numRef>
          </c:val>
          <c:smooth val="0"/>
          <c:extLst>
            <c:ext xmlns:c16="http://schemas.microsoft.com/office/drawing/2014/chart" uri="{C3380CC4-5D6E-409C-BE32-E72D297353CC}">
              <c16:uniqueId val="{00000001-00DC-4F79-8E1E-C7DC1D3C6F44}"/>
            </c:ext>
          </c:extLst>
        </c:ser>
        <c:ser>
          <c:idx val="2"/>
          <c:order val="2"/>
          <c:tx>
            <c:strRef>
              <c:f>'סעיף 3.4'!$D$3:$D$4</c:f>
              <c:strCache>
                <c:ptCount val="1"/>
                <c:pt idx="0">
                  <c:v>מזגן</c:v>
                </c:pt>
              </c:strCache>
            </c:strRef>
          </c:tx>
          <c:spPr>
            <a:ln w="28575" cap="rnd">
              <a:solidFill>
                <a:schemeClr val="accent3"/>
              </a:solidFill>
              <a:round/>
            </a:ln>
            <a:effectLst/>
          </c:spPr>
          <c:marker>
            <c:symbol val="none"/>
          </c:marker>
          <c:cat>
            <c:strRef>
              <c:f>'סעיף 3.4'!$A$5:$A$11</c:f>
              <c:strCache>
                <c:ptCount val="6"/>
                <c:pt idx="0">
                  <c:v>אפריל</c:v>
                </c:pt>
                <c:pt idx="1">
                  <c:v>יוני</c:v>
                </c:pt>
                <c:pt idx="2">
                  <c:v>ינואר</c:v>
                </c:pt>
                <c:pt idx="3">
                  <c:v>מאי</c:v>
                </c:pt>
                <c:pt idx="4">
                  <c:v>מרץ</c:v>
                </c:pt>
                <c:pt idx="5">
                  <c:v>פברואר</c:v>
                </c:pt>
              </c:strCache>
            </c:strRef>
          </c:cat>
          <c:val>
            <c:numRef>
              <c:f>'סעיף 3.4'!$D$5:$D$11</c:f>
              <c:numCache>
                <c:formatCode>General</c:formatCode>
                <c:ptCount val="6"/>
                <c:pt idx="0">
                  <c:v>74</c:v>
                </c:pt>
                <c:pt idx="1">
                  <c:v>28</c:v>
                </c:pt>
                <c:pt idx="2">
                  <c:v>41</c:v>
                </c:pt>
                <c:pt idx="3">
                  <c:v>34</c:v>
                </c:pt>
                <c:pt idx="4">
                  <c:v>13</c:v>
                </c:pt>
                <c:pt idx="5">
                  <c:v>26</c:v>
                </c:pt>
              </c:numCache>
            </c:numRef>
          </c:val>
          <c:smooth val="0"/>
          <c:extLst>
            <c:ext xmlns:c16="http://schemas.microsoft.com/office/drawing/2014/chart" uri="{C3380CC4-5D6E-409C-BE32-E72D297353CC}">
              <c16:uniqueId val="{00000002-00DC-4F79-8E1E-C7DC1D3C6F44}"/>
            </c:ext>
          </c:extLst>
        </c:ser>
        <c:ser>
          <c:idx val="3"/>
          <c:order val="3"/>
          <c:tx>
            <c:strRef>
              <c:f>'סעיף 3.4'!$E$3:$E$4</c:f>
              <c:strCache>
                <c:ptCount val="1"/>
                <c:pt idx="0">
                  <c:v>מחשב נייד</c:v>
                </c:pt>
              </c:strCache>
            </c:strRef>
          </c:tx>
          <c:spPr>
            <a:ln w="28575" cap="rnd">
              <a:solidFill>
                <a:schemeClr val="accent4"/>
              </a:solidFill>
              <a:round/>
            </a:ln>
            <a:effectLst/>
          </c:spPr>
          <c:marker>
            <c:symbol val="none"/>
          </c:marker>
          <c:cat>
            <c:strRef>
              <c:f>'סעיף 3.4'!$A$5:$A$11</c:f>
              <c:strCache>
                <c:ptCount val="6"/>
                <c:pt idx="0">
                  <c:v>אפריל</c:v>
                </c:pt>
                <c:pt idx="1">
                  <c:v>יוני</c:v>
                </c:pt>
                <c:pt idx="2">
                  <c:v>ינואר</c:v>
                </c:pt>
                <c:pt idx="3">
                  <c:v>מאי</c:v>
                </c:pt>
                <c:pt idx="4">
                  <c:v>מרץ</c:v>
                </c:pt>
                <c:pt idx="5">
                  <c:v>פברואר</c:v>
                </c:pt>
              </c:strCache>
            </c:strRef>
          </c:cat>
          <c:val>
            <c:numRef>
              <c:f>'סעיף 3.4'!$E$5:$E$11</c:f>
              <c:numCache>
                <c:formatCode>General</c:formatCode>
                <c:ptCount val="6"/>
                <c:pt idx="0">
                  <c:v>47</c:v>
                </c:pt>
                <c:pt idx="1">
                  <c:v>25</c:v>
                </c:pt>
                <c:pt idx="2">
                  <c:v>28</c:v>
                </c:pt>
                <c:pt idx="3">
                  <c:v>52</c:v>
                </c:pt>
                <c:pt idx="4">
                  <c:v>34</c:v>
                </c:pt>
                <c:pt idx="5">
                  <c:v>6</c:v>
                </c:pt>
              </c:numCache>
            </c:numRef>
          </c:val>
          <c:smooth val="0"/>
          <c:extLst>
            <c:ext xmlns:c16="http://schemas.microsoft.com/office/drawing/2014/chart" uri="{C3380CC4-5D6E-409C-BE32-E72D297353CC}">
              <c16:uniqueId val="{00000003-00DC-4F79-8E1E-C7DC1D3C6F44}"/>
            </c:ext>
          </c:extLst>
        </c:ser>
        <c:ser>
          <c:idx val="4"/>
          <c:order val="4"/>
          <c:tx>
            <c:strRef>
              <c:f>'סעיף 3.4'!$F$3:$F$4</c:f>
              <c:strCache>
                <c:ptCount val="1"/>
                <c:pt idx="0">
                  <c:v>מקרר</c:v>
                </c:pt>
              </c:strCache>
            </c:strRef>
          </c:tx>
          <c:spPr>
            <a:ln w="28575" cap="rnd">
              <a:solidFill>
                <a:schemeClr val="accent5"/>
              </a:solidFill>
              <a:round/>
            </a:ln>
            <a:effectLst/>
          </c:spPr>
          <c:marker>
            <c:symbol val="none"/>
          </c:marker>
          <c:cat>
            <c:strRef>
              <c:f>'סעיף 3.4'!$A$5:$A$11</c:f>
              <c:strCache>
                <c:ptCount val="6"/>
                <c:pt idx="0">
                  <c:v>אפריל</c:v>
                </c:pt>
                <c:pt idx="1">
                  <c:v>יוני</c:v>
                </c:pt>
                <c:pt idx="2">
                  <c:v>ינואר</c:v>
                </c:pt>
                <c:pt idx="3">
                  <c:v>מאי</c:v>
                </c:pt>
                <c:pt idx="4">
                  <c:v>מרץ</c:v>
                </c:pt>
                <c:pt idx="5">
                  <c:v>פברואר</c:v>
                </c:pt>
              </c:strCache>
            </c:strRef>
          </c:cat>
          <c:val>
            <c:numRef>
              <c:f>'סעיף 3.4'!$F$5:$F$11</c:f>
              <c:numCache>
                <c:formatCode>General</c:formatCode>
                <c:ptCount val="6"/>
                <c:pt idx="0">
                  <c:v>19</c:v>
                </c:pt>
                <c:pt idx="1">
                  <c:v>26</c:v>
                </c:pt>
                <c:pt idx="2">
                  <c:v>44</c:v>
                </c:pt>
                <c:pt idx="3">
                  <c:v>50</c:v>
                </c:pt>
                <c:pt idx="4">
                  <c:v>17</c:v>
                </c:pt>
                <c:pt idx="5">
                  <c:v>27</c:v>
                </c:pt>
              </c:numCache>
            </c:numRef>
          </c:val>
          <c:smooth val="0"/>
          <c:extLst>
            <c:ext xmlns:c16="http://schemas.microsoft.com/office/drawing/2014/chart" uri="{C3380CC4-5D6E-409C-BE32-E72D297353CC}">
              <c16:uniqueId val="{00000004-00DC-4F79-8E1E-C7DC1D3C6F44}"/>
            </c:ext>
          </c:extLst>
        </c:ser>
        <c:dLbls>
          <c:showLegendKey val="0"/>
          <c:showVal val="0"/>
          <c:showCatName val="0"/>
          <c:showSerName val="0"/>
          <c:showPercent val="0"/>
          <c:showBubbleSize val="0"/>
        </c:dLbls>
        <c:smooth val="0"/>
        <c:axId val="412420064"/>
        <c:axId val="412420720"/>
      </c:lineChart>
      <c:catAx>
        <c:axId val="4124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420720"/>
        <c:crosses val="autoZero"/>
        <c:auto val="1"/>
        <c:lblAlgn val="ctr"/>
        <c:lblOffset val="100"/>
        <c:noMultiLvlLbl val="0"/>
      </c:catAx>
      <c:valAx>
        <c:axId val="41242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42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Table.xlsx]סעיף 3.3!Сводная таблица3</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'סעיף 3.3'!$B$3</c:f>
              <c:strCache>
                <c:ptCount val="1"/>
                <c:pt idx="0">
                  <c:v>Sum of רווח גולמי בש"ח</c:v>
                </c:pt>
              </c:strCache>
            </c:strRef>
          </c:tx>
          <c:spPr>
            <a:solidFill>
              <a:schemeClr val="accent1"/>
            </a:solidFill>
            <a:ln>
              <a:noFill/>
            </a:ln>
            <a:effectLst/>
            <a:sp3d/>
          </c:spPr>
          <c:invertIfNegative val="0"/>
          <c:cat>
            <c:strRef>
              <c:f>'סעיף 3.3'!$A$4:$A$12</c:f>
              <c:strCache>
                <c:ptCount val="8"/>
                <c:pt idx="0">
                  <c:v>דני</c:v>
                </c:pt>
                <c:pt idx="1">
                  <c:v>טל</c:v>
                </c:pt>
                <c:pt idx="2">
                  <c:v>יוסי</c:v>
                </c:pt>
                <c:pt idx="3">
                  <c:v>לאה</c:v>
                </c:pt>
                <c:pt idx="4">
                  <c:v>מיכאל</c:v>
                </c:pt>
                <c:pt idx="5">
                  <c:v>נועם</c:v>
                </c:pt>
                <c:pt idx="6">
                  <c:v>רונית</c:v>
                </c:pt>
                <c:pt idx="7">
                  <c:v>שרה</c:v>
                </c:pt>
              </c:strCache>
            </c:strRef>
          </c:cat>
          <c:val>
            <c:numRef>
              <c:f>'סעיף 3.3'!$B$4:$B$12</c:f>
              <c:numCache>
                <c:formatCode>General</c:formatCode>
                <c:ptCount val="8"/>
                <c:pt idx="0">
                  <c:v>16431</c:v>
                </c:pt>
                <c:pt idx="1">
                  <c:v>10871</c:v>
                </c:pt>
                <c:pt idx="2">
                  <c:v>14256</c:v>
                </c:pt>
                <c:pt idx="3">
                  <c:v>15600</c:v>
                </c:pt>
                <c:pt idx="4">
                  <c:v>12705</c:v>
                </c:pt>
                <c:pt idx="5">
                  <c:v>16530</c:v>
                </c:pt>
                <c:pt idx="6">
                  <c:v>8918</c:v>
                </c:pt>
                <c:pt idx="7">
                  <c:v>10172</c:v>
                </c:pt>
              </c:numCache>
            </c:numRef>
          </c:val>
          <c:extLst>
            <c:ext xmlns:c16="http://schemas.microsoft.com/office/drawing/2014/chart" uri="{C3380CC4-5D6E-409C-BE32-E72D297353CC}">
              <c16:uniqueId val="{00000000-6FEE-49AD-8B5B-07ECA079F581}"/>
            </c:ext>
          </c:extLst>
        </c:ser>
        <c:ser>
          <c:idx val="1"/>
          <c:order val="1"/>
          <c:tx>
            <c:strRef>
              <c:f>'סעיף 3.3'!$C$3</c:f>
              <c:strCache>
                <c:ptCount val="1"/>
                <c:pt idx="0">
                  <c:v>Sum of כמות שנמכרה</c:v>
                </c:pt>
              </c:strCache>
            </c:strRef>
          </c:tx>
          <c:spPr>
            <a:solidFill>
              <a:schemeClr val="accent2"/>
            </a:solidFill>
            <a:ln>
              <a:noFill/>
            </a:ln>
            <a:effectLst/>
            <a:sp3d/>
          </c:spPr>
          <c:invertIfNegative val="0"/>
          <c:cat>
            <c:strRef>
              <c:f>'סעיף 3.3'!$A$4:$A$12</c:f>
              <c:strCache>
                <c:ptCount val="8"/>
                <c:pt idx="0">
                  <c:v>דני</c:v>
                </c:pt>
                <c:pt idx="1">
                  <c:v>טל</c:v>
                </c:pt>
                <c:pt idx="2">
                  <c:v>יוסי</c:v>
                </c:pt>
                <c:pt idx="3">
                  <c:v>לאה</c:v>
                </c:pt>
                <c:pt idx="4">
                  <c:v>מיכאל</c:v>
                </c:pt>
                <c:pt idx="5">
                  <c:v>נועם</c:v>
                </c:pt>
                <c:pt idx="6">
                  <c:v>רונית</c:v>
                </c:pt>
                <c:pt idx="7">
                  <c:v>שרה</c:v>
                </c:pt>
              </c:strCache>
            </c:strRef>
          </c:cat>
          <c:val>
            <c:numRef>
              <c:f>'סעיף 3.3'!$C$4:$C$12</c:f>
              <c:numCache>
                <c:formatCode>General</c:formatCode>
                <c:ptCount val="8"/>
                <c:pt idx="0">
                  <c:v>149</c:v>
                </c:pt>
                <c:pt idx="1">
                  <c:v>139</c:v>
                </c:pt>
                <c:pt idx="2">
                  <c:v>88</c:v>
                </c:pt>
                <c:pt idx="3">
                  <c:v>142</c:v>
                </c:pt>
                <c:pt idx="4">
                  <c:v>174</c:v>
                </c:pt>
                <c:pt idx="5">
                  <c:v>150</c:v>
                </c:pt>
                <c:pt idx="6">
                  <c:v>101</c:v>
                </c:pt>
                <c:pt idx="7">
                  <c:v>98</c:v>
                </c:pt>
              </c:numCache>
            </c:numRef>
          </c:val>
          <c:extLst>
            <c:ext xmlns:c16="http://schemas.microsoft.com/office/drawing/2014/chart" uri="{C3380CC4-5D6E-409C-BE32-E72D297353CC}">
              <c16:uniqueId val="{00000001-F858-4CAA-8F42-C72DB2E6BFD4}"/>
            </c:ext>
          </c:extLst>
        </c:ser>
        <c:dLbls>
          <c:showLegendKey val="0"/>
          <c:showVal val="0"/>
          <c:showCatName val="0"/>
          <c:showSerName val="0"/>
          <c:showPercent val="0"/>
          <c:showBubbleSize val="0"/>
        </c:dLbls>
        <c:gapWidth val="150"/>
        <c:shape val="box"/>
        <c:axId val="419393432"/>
        <c:axId val="419397040"/>
        <c:axId val="0"/>
      </c:bar3DChart>
      <c:catAx>
        <c:axId val="419393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97040"/>
        <c:crosses val="autoZero"/>
        <c:auto val="1"/>
        <c:lblAlgn val="ctr"/>
        <c:lblOffset val="100"/>
        <c:noMultiLvlLbl val="0"/>
      </c:catAx>
      <c:valAx>
        <c:axId val="41939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93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Table.xlsx]סעיף 3.2!Сводная таблица2</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'סעיף 3.2'!$B$3:$B$4</c:f>
              <c:strCache>
                <c:ptCount val="1"/>
                <c:pt idx="0">
                  <c:v>חנות באר שבע</c:v>
                </c:pt>
              </c:strCache>
            </c:strRef>
          </c:tx>
          <c:spPr>
            <a:solidFill>
              <a:schemeClr val="accent1"/>
            </a:solidFill>
            <a:ln>
              <a:noFill/>
            </a:ln>
            <a:effectLst/>
            <a:sp3d/>
          </c:spPr>
          <c:invertIfNegative val="0"/>
          <c:cat>
            <c:strRef>
              <c:f>'סעיף 3.2'!$A$5:$A$10</c:f>
              <c:strCache>
                <c:ptCount val="5"/>
                <c:pt idx="0">
                  <c:v>טלוויזיה</c:v>
                </c:pt>
                <c:pt idx="1">
                  <c:v>טלפון</c:v>
                </c:pt>
                <c:pt idx="2">
                  <c:v>מזגן</c:v>
                </c:pt>
                <c:pt idx="3">
                  <c:v>מחשב נייד</c:v>
                </c:pt>
                <c:pt idx="4">
                  <c:v>מקרר</c:v>
                </c:pt>
              </c:strCache>
            </c:strRef>
          </c:cat>
          <c:val>
            <c:numRef>
              <c:f>'סעיף 3.2'!$B$5:$B$10</c:f>
              <c:numCache>
                <c:formatCode>General</c:formatCode>
                <c:ptCount val="5"/>
                <c:pt idx="0">
                  <c:v>1894</c:v>
                </c:pt>
                <c:pt idx="1">
                  <c:v>4577</c:v>
                </c:pt>
                <c:pt idx="2">
                  <c:v>7712</c:v>
                </c:pt>
                <c:pt idx="3">
                  <c:v>7298</c:v>
                </c:pt>
                <c:pt idx="4">
                  <c:v>3646</c:v>
                </c:pt>
              </c:numCache>
            </c:numRef>
          </c:val>
          <c:extLst>
            <c:ext xmlns:c16="http://schemas.microsoft.com/office/drawing/2014/chart" uri="{C3380CC4-5D6E-409C-BE32-E72D297353CC}">
              <c16:uniqueId val="{00000000-49AA-4327-B86E-78E736205D95}"/>
            </c:ext>
          </c:extLst>
        </c:ser>
        <c:ser>
          <c:idx val="1"/>
          <c:order val="1"/>
          <c:tx>
            <c:strRef>
              <c:f>'סעיף 3.2'!$C$3:$C$4</c:f>
              <c:strCache>
                <c:ptCount val="1"/>
                <c:pt idx="0">
                  <c:v>חנות חיפה</c:v>
                </c:pt>
              </c:strCache>
            </c:strRef>
          </c:tx>
          <c:spPr>
            <a:solidFill>
              <a:schemeClr val="accent2"/>
            </a:solidFill>
            <a:ln>
              <a:noFill/>
            </a:ln>
            <a:effectLst/>
            <a:sp3d/>
          </c:spPr>
          <c:invertIfNegative val="0"/>
          <c:cat>
            <c:strRef>
              <c:f>'סעיף 3.2'!$A$5:$A$10</c:f>
              <c:strCache>
                <c:ptCount val="5"/>
                <c:pt idx="0">
                  <c:v>טלוויזיה</c:v>
                </c:pt>
                <c:pt idx="1">
                  <c:v>טלפון</c:v>
                </c:pt>
                <c:pt idx="2">
                  <c:v>מזגן</c:v>
                </c:pt>
                <c:pt idx="3">
                  <c:v>מחשב נייד</c:v>
                </c:pt>
                <c:pt idx="4">
                  <c:v>מקרר</c:v>
                </c:pt>
              </c:strCache>
            </c:strRef>
          </c:cat>
          <c:val>
            <c:numRef>
              <c:f>'סעיף 3.2'!$C$5:$C$10</c:f>
              <c:numCache>
                <c:formatCode>General</c:formatCode>
                <c:ptCount val="5"/>
                <c:pt idx="0">
                  <c:v>12240</c:v>
                </c:pt>
                <c:pt idx="1">
                  <c:v>2033</c:v>
                </c:pt>
                <c:pt idx="2">
                  <c:v>7705</c:v>
                </c:pt>
                <c:pt idx="3">
                  <c:v>5821</c:v>
                </c:pt>
                <c:pt idx="4">
                  <c:v>4232</c:v>
                </c:pt>
              </c:numCache>
            </c:numRef>
          </c:val>
          <c:extLst>
            <c:ext xmlns:c16="http://schemas.microsoft.com/office/drawing/2014/chart" uri="{C3380CC4-5D6E-409C-BE32-E72D297353CC}">
              <c16:uniqueId val="{00000001-49AA-4327-B86E-78E736205D95}"/>
            </c:ext>
          </c:extLst>
        </c:ser>
        <c:ser>
          <c:idx val="2"/>
          <c:order val="2"/>
          <c:tx>
            <c:strRef>
              <c:f>'סעיף 3.2'!$D$3:$D$4</c:f>
              <c:strCache>
                <c:ptCount val="1"/>
                <c:pt idx="0">
                  <c:v>חנות ירושלים</c:v>
                </c:pt>
              </c:strCache>
            </c:strRef>
          </c:tx>
          <c:spPr>
            <a:solidFill>
              <a:schemeClr val="accent3"/>
            </a:solidFill>
            <a:ln>
              <a:noFill/>
            </a:ln>
            <a:effectLst/>
            <a:sp3d/>
          </c:spPr>
          <c:invertIfNegative val="0"/>
          <c:cat>
            <c:strRef>
              <c:f>'סעיף 3.2'!$A$5:$A$10</c:f>
              <c:strCache>
                <c:ptCount val="5"/>
                <c:pt idx="0">
                  <c:v>טלוויזיה</c:v>
                </c:pt>
                <c:pt idx="1">
                  <c:v>טלפון</c:v>
                </c:pt>
                <c:pt idx="2">
                  <c:v>מזגן</c:v>
                </c:pt>
                <c:pt idx="3">
                  <c:v>מחשב נייד</c:v>
                </c:pt>
                <c:pt idx="4">
                  <c:v>מקרר</c:v>
                </c:pt>
              </c:strCache>
            </c:strRef>
          </c:cat>
          <c:val>
            <c:numRef>
              <c:f>'סעיף 3.2'!$D$5:$D$10</c:f>
              <c:numCache>
                <c:formatCode>General</c:formatCode>
                <c:ptCount val="5"/>
                <c:pt idx="0">
                  <c:v>1985</c:v>
                </c:pt>
                <c:pt idx="1">
                  <c:v>7264</c:v>
                </c:pt>
                <c:pt idx="2">
                  <c:v>5540</c:v>
                </c:pt>
                <c:pt idx="3">
                  <c:v>6809</c:v>
                </c:pt>
                <c:pt idx="4">
                  <c:v>5104</c:v>
                </c:pt>
              </c:numCache>
            </c:numRef>
          </c:val>
          <c:extLst>
            <c:ext xmlns:c16="http://schemas.microsoft.com/office/drawing/2014/chart" uri="{C3380CC4-5D6E-409C-BE32-E72D297353CC}">
              <c16:uniqueId val="{00000002-49AA-4327-B86E-78E736205D95}"/>
            </c:ext>
          </c:extLst>
        </c:ser>
        <c:ser>
          <c:idx val="3"/>
          <c:order val="3"/>
          <c:tx>
            <c:strRef>
              <c:f>'סעיף 3.2'!$E$3:$E$4</c:f>
              <c:strCache>
                <c:ptCount val="1"/>
                <c:pt idx="0">
                  <c:v>חנות תל אביב</c:v>
                </c:pt>
              </c:strCache>
            </c:strRef>
          </c:tx>
          <c:spPr>
            <a:solidFill>
              <a:schemeClr val="accent4"/>
            </a:solidFill>
            <a:ln>
              <a:noFill/>
            </a:ln>
            <a:effectLst/>
            <a:sp3d/>
          </c:spPr>
          <c:invertIfNegative val="0"/>
          <c:cat>
            <c:strRef>
              <c:f>'סעיף 3.2'!$A$5:$A$10</c:f>
              <c:strCache>
                <c:ptCount val="5"/>
                <c:pt idx="0">
                  <c:v>טלוויזיה</c:v>
                </c:pt>
                <c:pt idx="1">
                  <c:v>טלפון</c:v>
                </c:pt>
                <c:pt idx="2">
                  <c:v>מזגן</c:v>
                </c:pt>
                <c:pt idx="3">
                  <c:v>מחשב נייד</c:v>
                </c:pt>
                <c:pt idx="4">
                  <c:v>מקרר</c:v>
                </c:pt>
              </c:strCache>
            </c:strRef>
          </c:cat>
          <c:val>
            <c:numRef>
              <c:f>'סעיף 3.2'!$E$5:$E$10</c:f>
              <c:numCache>
                <c:formatCode>General</c:formatCode>
                <c:ptCount val="5"/>
                <c:pt idx="0">
                  <c:v>4595</c:v>
                </c:pt>
                <c:pt idx="1">
                  <c:v>3178</c:v>
                </c:pt>
                <c:pt idx="2">
                  <c:v>4574</c:v>
                </c:pt>
                <c:pt idx="3">
                  <c:v>2862</c:v>
                </c:pt>
                <c:pt idx="4">
                  <c:v>6414</c:v>
                </c:pt>
              </c:numCache>
            </c:numRef>
          </c:val>
          <c:extLst>
            <c:ext xmlns:c16="http://schemas.microsoft.com/office/drawing/2014/chart" uri="{C3380CC4-5D6E-409C-BE32-E72D297353CC}">
              <c16:uniqueId val="{00000003-49AA-4327-B86E-78E736205D95}"/>
            </c:ext>
          </c:extLst>
        </c:ser>
        <c:dLbls>
          <c:showLegendKey val="0"/>
          <c:showVal val="0"/>
          <c:showCatName val="0"/>
          <c:showSerName val="0"/>
          <c:showPercent val="0"/>
          <c:showBubbleSize val="0"/>
        </c:dLbls>
        <c:gapWidth val="150"/>
        <c:shape val="box"/>
        <c:axId val="412009584"/>
        <c:axId val="412012864"/>
        <c:axId val="0"/>
      </c:bar3DChart>
      <c:catAx>
        <c:axId val="41200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12864"/>
        <c:crosses val="autoZero"/>
        <c:auto val="1"/>
        <c:lblAlgn val="ctr"/>
        <c:lblOffset val="100"/>
        <c:noMultiLvlLbl val="0"/>
      </c:catAx>
      <c:valAx>
        <c:axId val="4120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0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Table.xlsx]סעיף 3.1!Сводная таблица1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'סעיף 3.1'!$B$3:$B$4</c:f>
              <c:strCache>
                <c:ptCount val="1"/>
                <c:pt idx="0">
                  <c:v>אפריל</c:v>
                </c:pt>
              </c:strCache>
            </c:strRef>
          </c:tx>
          <c:spPr>
            <a:solidFill>
              <a:schemeClr val="accent1"/>
            </a:solidFill>
            <a:ln>
              <a:noFill/>
            </a:ln>
            <a:effectLst/>
          </c:spPr>
          <c:invertIfNegative val="0"/>
          <c:cat>
            <c:strRef>
              <c:f>'סעיף 3.1'!$A$5:$A$13</c:f>
              <c:strCache>
                <c:ptCount val="8"/>
                <c:pt idx="0">
                  <c:v>דני</c:v>
                </c:pt>
                <c:pt idx="1">
                  <c:v>טל</c:v>
                </c:pt>
                <c:pt idx="2">
                  <c:v>יוסי</c:v>
                </c:pt>
                <c:pt idx="3">
                  <c:v>לאה</c:v>
                </c:pt>
                <c:pt idx="4">
                  <c:v>מיכאל</c:v>
                </c:pt>
                <c:pt idx="5">
                  <c:v>נועם</c:v>
                </c:pt>
                <c:pt idx="6">
                  <c:v>רונית</c:v>
                </c:pt>
                <c:pt idx="7">
                  <c:v>שרה</c:v>
                </c:pt>
              </c:strCache>
            </c:strRef>
          </c:cat>
          <c:val>
            <c:numRef>
              <c:f>'סעיף 3.1'!$B$5:$B$13</c:f>
              <c:numCache>
                <c:formatCode>General</c:formatCode>
                <c:ptCount val="8"/>
                <c:pt idx="0">
                  <c:v>37823</c:v>
                </c:pt>
                <c:pt idx="2">
                  <c:v>50648</c:v>
                </c:pt>
                <c:pt idx="3">
                  <c:v>35365</c:v>
                </c:pt>
                <c:pt idx="4">
                  <c:v>19962</c:v>
                </c:pt>
                <c:pt idx="5">
                  <c:v>48225</c:v>
                </c:pt>
                <c:pt idx="6">
                  <c:v>15910</c:v>
                </c:pt>
                <c:pt idx="7">
                  <c:v>37606</c:v>
                </c:pt>
              </c:numCache>
            </c:numRef>
          </c:val>
          <c:extLst>
            <c:ext xmlns:c16="http://schemas.microsoft.com/office/drawing/2014/chart" uri="{C3380CC4-5D6E-409C-BE32-E72D297353CC}">
              <c16:uniqueId val="{00000000-9957-4BE7-9D3D-539246AD091A}"/>
            </c:ext>
          </c:extLst>
        </c:ser>
        <c:ser>
          <c:idx val="1"/>
          <c:order val="1"/>
          <c:tx>
            <c:strRef>
              <c:f>'סעיף 3.1'!$C$3:$C$4</c:f>
              <c:strCache>
                <c:ptCount val="1"/>
                <c:pt idx="0">
                  <c:v>יוני</c:v>
                </c:pt>
              </c:strCache>
            </c:strRef>
          </c:tx>
          <c:spPr>
            <a:solidFill>
              <a:schemeClr val="accent2"/>
            </a:solidFill>
            <a:ln>
              <a:noFill/>
            </a:ln>
            <a:effectLst/>
          </c:spPr>
          <c:invertIfNegative val="0"/>
          <c:cat>
            <c:strRef>
              <c:f>'סעיף 3.1'!$A$5:$A$13</c:f>
              <c:strCache>
                <c:ptCount val="8"/>
                <c:pt idx="0">
                  <c:v>דני</c:v>
                </c:pt>
                <c:pt idx="1">
                  <c:v>טל</c:v>
                </c:pt>
                <c:pt idx="2">
                  <c:v>יוסי</c:v>
                </c:pt>
                <c:pt idx="3">
                  <c:v>לאה</c:v>
                </c:pt>
                <c:pt idx="4">
                  <c:v>מיכאל</c:v>
                </c:pt>
                <c:pt idx="5">
                  <c:v>נועם</c:v>
                </c:pt>
                <c:pt idx="6">
                  <c:v>רונית</c:v>
                </c:pt>
                <c:pt idx="7">
                  <c:v>שרה</c:v>
                </c:pt>
              </c:strCache>
            </c:strRef>
          </c:cat>
          <c:val>
            <c:numRef>
              <c:f>'סעיף 3.1'!$C$5:$C$13</c:f>
              <c:numCache>
                <c:formatCode>General</c:formatCode>
                <c:ptCount val="8"/>
                <c:pt idx="0">
                  <c:v>79872</c:v>
                </c:pt>
                <c:pt idx="1">
                  <c:v>35651</c:v>
                </c:pt>
                <c:pt idx="2">
                  <c:v>8215</c:v>
                </c:pt>
                <c:pt idx="3">
                  <c:v>14296</c:v>
                </c:pt>
                <c:pt idx="4">
                  <c:v>90755</c:v>
                </c:pt>
                <c:pt idx="5">
                  <c:v>54490</c:v>
                </c:pt>
                <c:pt idx="6">
                  <c:v>24371</c:v>
                </c:pt>
                <c:pt idx="7">
                  <c:v>47041</c:v>
                </c:pt>
              </c:numCache>
            </c:numRef>
          </c:val>
          <c:extLst>
            <c:ext xmlns:c16="http://schemas.microsoft.com/office/drawing/2014/chart" uri="{C3380CC4-5D6E-409C-BE32-E72D297353CC}">
              <c16:uniqueId val="{00000001-9957-4BE7-9D3D-539246AD091A}"/>
            </c:ext>
          </c:extLst>
        </c:ser>
        <c:ser>
          <c:idx val="2"/>
          <c:order val="2"/>
          <c:tx>
            <c:strRef>
              <c:f>'סעיף 3.1'!$D$3:$D$4</c:f>
              <c:strCache>
                <c:ptCount val="1"/>
                <c:pt idx="0">
                  <c:v>ינואר</c:v>
                </c:pt>
              </c:strCache>
            </c:strRef>
          </c:tx>
          <c:spPr>
            <a:solidFill>
              <a:schemeClr val="accent3"/>
            </a:solidFill>
            <a:ln>
              <a:noFill/>
            </a:ln>
            <a:effectLst/>
          </c:spPr>
          <c:invertIfNegative val="0"/>
          <c:cat>
            <c:strRef>
              <c:f>'סעיף 3.1'!$A$5:$A$13</c:f>
              <c:strCache>
                <c:ptCount val="8"/>
                <c:pt idx="0">
                  <c:v>דני</c:v>
                </c:pt>
                <c:pt idx="1">
                  <c:v>טל</c:v>
                </c:pt>
                <c:pt idx="2">
                  <c:v>יוסי</c:v>
                </c:pt>
                <c:pt idx="3">
                  <c:v>לאה</c:v>
                </c:pt>
                <c:pt idx="4">
                  <c:v>מיכאל</c:v>
                </c:pt>
                <c:pt idx="5">
                  <c:v>נועם</c:v>
                </c:pt>
                <c:pt idx="6">
                  <c:v>רונית</c:v>
                </c:pt>
                <c:pt idx="7">
                  <c:v>שרה</c:v>
                </c:pt>
              </c:strCache>
            </c:strRef>
          </c:cat>
          <c:val>
            <c:numRef>
              <c:f>'סעיף 3.1'!$D$5:$D$13</c:f>
              <c:numCache>
                <c:formatCode>General</c:formatCode>
                <c:ptCount val="8"/>
                <c:pt idx="0">
                  <c:v>82134</c:v>
                </c:pt>
                <c:pt idx="1">
                  <c:v>72945</c:v>
                </c:pt>
                <c:pt idx="2">
                  <c:v>20255</c:v>
                </c:pt>
                <c:pt idx="3">
                  <c:v>70290</c:v>
                </c:pt>
                <c:pt idx="4">
                  <c:v>88060</c:v>
                </c:pt>
                <c:pt idx="5">
                  <c:v>15726</c:v>
                </c:pt>
                <c:pt idx="6">
                  <c:v>62486</c:v>
                </c:pt>
              </c:numCache>
            </c:numRef>
          </c:val>
          <c:extLst>
            <c:ext xmlns:c16="http://schemas.microsoft.com/office/drawing/2014/chart" uri="{C3380CC4-5D6E-409C-BE32-E72D297353CC}">
              <c16:uniqueId val="{00000002-9957-4BE7-9D3D-539246AD091A}"/>
            </c:ext>
          </c:extLst>
        </c:ser>
        <c:ser>
          <c:idx val="3"/>
          <c:order val="3"/>
          <c:tx>
            <c:strRef>
              <c:f>'סעיף 3.1'!$E$3:$E$4</c:f>
              <c:strCache>
                <c:ptCount val="1"/>
                <c:pt idx="0">
                  <c:v>מאי</c:v>
                </c:pt>
              </c:strCache>
            </c:strRef>
          </c:tx>
          <c:spPr>
            <a:solidFill>
              <a:schemeClr val="accent4"/>
            </a:solidFill>
            <a:ln>
              <a:noFill/>
            </a:ln>
            <a:effectLst/>
          </c:spPr>
          <c:invertIfNegative val="0"/>
          <c:cat>
            <c:strRef>
              <c:f>'סעיף 3.1'!$A$5:$A$13</c:f>
              <c:strCache>
                <c:ptCount val="8"/>
                <c:pt idx="0">
                  <c:v>דני</c:v>
                </c:pt>
                <c:pt idx="1">
                  <c:v>טל</c:v>
                </c:pt>
                <c:pt idx="2">
                  <c:v>יוסי</c:v>
                </c:pt>
                <c:pt idx="3">
                  <c:v>לאה</c:v>
                </c:pt>
                <c:pt idx="4">
                  <c:v>מיכאל</c:v>
                </c:pt>
                <c:pt idx="5">
                  <c:v>נועם</c:v>
                </c:pt>
                <c:pt idx="6">
                  <c:v>רונית</c:v>
                </c:pt>
                <c:pt idx="7">
                  <c:v>שרה</c:v>
                </c:pt>
              </c:strCache>
            </c:strRef>
          </c:cat>
          <c:val>
            <c:numRef>
              <c:f>'סעיף 3.1'!$E$5:$E$13</c:f>
              <c:numCache>
                <c:formatCode>General</c:formatCode>
                <c:ptCount val="8"/>
                <c:pt idx="0">
                  <c:v>24275</c:v>
                </c:pt>
                <c:pt idx="1">
                  <c:v>41036</c:v>
                </c:pt>
                <c:pt idx="2">
                  <c:v>103303</c:v>
                </c:pt>
                <c:pt idx="3">
                  <c:v>69663</c:v>
                </c:pt>
                <c:pt idx="4">
                  <c:v>37735</c:v>
                </c:pt>
                <c:pt idx="5">
                  <c:v>31982</c:v>
                </c:pt>
                <c:pt idx="6">
                  <c:v>33682</c:v>
                </c:pt>
              </c:numCache>
            </c:numRef>
          </c:val>
          <c:extLst>
            <c:ext xmlns:c16="http://schemas.microsoft.com/office/drawing/2014/chart" uri="{C3380CC4-5D6E-409C-BE32-E72D297353CC}">
              <c16:uniqueId val="{00000003-9957-4BE7-9D3D-539246AD091A}"/>
            </c:ext>
          </c:extLst>
        </c:ser>
        <c:ser>
          <c:idx val="4"/>
          <c:order val="4"/>
          <c:tx>
            <c:strRef>
              <c:f>'סעיף 3.1'!$F$3:$F$4</c:f>
              <c:strCache>
                <c:ptCount val="1"/>
                <c:pt idx="0">
                  <c:v>מרץ</c:v>
                </c:pt>
              </c:strCache>
            </c:strRef>
          </c:tx>
          <c:spPr>
            <a:solidFill>
              <a:schemeClr val="accent5"/>
            </a:solidFill>
            <a:ln>
              <a:noFill/>
            </a:ln>
            <a:effectLst/>
          </c:spPr>
          <c:invertIfNegative val="0"/>
          <c:cat>
            <c:strRef>
              <c:f>'סעיף 3.1'!$A$5:$A$13</c:f>
              <c:strCache>
                <c:ptCount val="8"/>
                <c:pt idx="0">
                  <c:v>דני</c:v>
                </c:pt>
                <c:pt idx="1">
                  <c:v>טל</c:v>
                </c:pt>
                <c:pt idx="2">
                  <c:v>יוסי</c:v>
                </c:pt>
                <c:pt idx="3">
                  <c:v>לאה</c:v>
                </c:pt>
                <c:pt idx="4">
                  <c:v>מיכאל</c:v>
                </c:pt>
                <c:pt idx="5">
                  <c:v>נועם</c:v>
                </c:pt>
                <c:pt idx="6">
                  <c:v>רונית</c:v>
                </c:pt>
                <c:pt idx="7">
                  <c:v>שרה</c:v>
                </c:pt>
              </c:strCache>
            </c:strRef>
          </c:cat>
          <c:val>
            <c:numRef>
              <c:f>'סעיף 3.1'!$F$5:$F$13</c:f>
              <c:numCache>
                <c:formatCode>General</c:formatCode>
                <c:ptCount val="8"/>
                <c:pt idx="0">
                  <c:v>86629</c:v>
                </c:pt>
                <c:pt idx="1">
                  <c:v>40380</c:v>
                </c:pt>
                <c:pt idx="4">
                  <c:v>90201</c:v>
                </c:pt>
                <c:pt idx="5">
                  <c:v>5560</c:v>
                </c:pt>
                <c:pt idx="7">
                  <c:v>44336</c:v>
                </c:pt>
              </c:numCache>
            </c:numRef>
          </c:val>
          <c:extLst>
            <c:ext xmlns:c16="http://schemas.microsoft.com/office/drawing/2014/chart" uri="{C3380CC4-5D6E-409C-BE32-E72D297353CC}">
              <c16:uniqueId val="{00000004-9957-4BE7-9D3D-539246AD091A}"/>
            </c:ext>
          </c:extLst>
        </c:ser>
        <c:ser>
          <c:idx val="5"/>
          <c:order val="5"/>
          <c:tx>
            <c:strRef>
              <c:f>'סעיף 3.1'!$G$3:$G$4</c:f>
              <c:strCache>
                <c:ptCount val="1"/>
                <c:pt idx="0">
                  <c:v>פברואר</c:v>
                </c:pt>
              </c:strCache>
            </c:strRef>
          </c:tx>
          <c:spPr>
            <a:solidFill>
              <a:schemeClr val="accent6"/>
            </a:solidFill>
            <a:ln>
              <a:noFill/>
            </a:ln>
            <a:effectLst/>
          </c:spPr>
          <c:invertIfNegative val="0"/>
          <c:cat>
            <c:strRef>
              <c:f>'סעיף 3.1'!$A$5:$A$13</c:f>
              <c:strCache>
                <c:ptCount val="8"/>
                <c:pt idx="0">
                  <c:v>דני</c:v>
                </c:pt>
                <c:pt idx="1">
                  <c:v>טל</c:v>
                </c:pt>
                <c:pt idx="2">
                  <c:v>יוסי</c:v>
                </c:pt>
                <c:pt idx="3">
                  <c:v>לאה</c:v>
                </c:pt>
                <c:pt idx="4">
                  <c:v>מיכאל</c:v>
                </c:pt>
                <c:pt idx="5">
                  <c:v>נועם</c:v>
                </c:pt>
                <c:pt idx="6">
                  <c:v>רונית</c:v>
                </c:pt>
                <c:pt idx="7">
                  <c:v>שרה</c:v>
                </c:pt>
              </c:strCache>
            </c:strRef>
          </c:cat>
          <c:val>
            <c:numRef>
              <c:f>'סעיף 3.1'!$G$5:$G$13</c:f>
              <c:numCache>
                <c:formatCode>General</c:formatCode>
                <c:ptCount val="8"/>
                <c:pt idx="0">
                  <c:v>3970</c:v>
                </c:pt>
                <c:pt idx="1">
                  <c:v>43071</c:v>
                </c:pt>
                <c:pt idx="3">
                  <c:v>60958</c:v>
                </c:pt>
                <c:pt idx="4">
                  <c:v>47159</c:v>
                </c:pt>
                <c:pt idx="5">
                  <c:v>32717</c:v>
                </c:pt>
                <c:pt idx="6">
                  <c:v>21967</c:v>
                </c:pt>
                <c:pt idx="7">
                  <c:v>63277</c:v>
                </c:pt>
              </c:numCache>
            </c:numRef>
          </c:val>
          <c:extLst>
            <c:ext xmlns:c16="http://schemas.microsoft.com/office/drawing/2014/chart" uri="{C3380CC4-5D6E-409C-BE32-E72D297353CC}">
              <c16:uniqueId val="{00000005-9957-4BE7-9D3D-539246AD091A}"/>
            </c:ext>
          </c:extLst>
        </c:ser>
        <c:dLbls>
          <c:showLegendKey val="0"/>
          <c:showVal val="0"/>
          <c:showCatName val="0"/>
          <c:showSerName val="0"/>
          <c:showPercent val="0"/>
          <c:showBubbleSize val="0"/>
        </c:dLbls>
        <c:gapWidth val="219"/>
        <c:overlap val="-27"/>
        <c:axId val="1693994815"/>
        <c:axId val="1700222815"/>
      </c:barChart>
      <c:catAx>
        <c:axId val="169399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22815"/>
        <c:crosses val="autoZero"/>
        <c:auto val="1"/>
        <c:lblAlgn val="ctr"/>
        <c:lblOffset val="100"/>
        <c:noMultiLvlLbl val="0"/>
      </c:catAx>
      <c:valAx>
        <c:axId val="170022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236220</xdr:colOff>
      <xdr:row>1</xdr:row>
      <xdr:rowOff>80010</xdr:rowOff>
    </xdr:from>
    <xdr:to>
      <xdr:col>15</xdr:col>
      <xdr:colOff>560070</xdr:colOff>
      <xdr:row>13</xdr:row>
      <xdr:rowOff>7620</xdr:rowOff>
    </xdr:to>
    <xdr:graphicFrame macro="">
      <xdr:nvGraphicFramePr>
        <xdr:cNvPr id="3" name="Диаграмма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0</xdr:row>
      <xdr:rowOff>26670</xdr:rowOff>
    </xdr:from>
    <xdr:to>
      <xdr:col>8</xdr:col>
      <xdr:colOff>1645920</xdr:colOff>
      <xdr:row>10</xdr:row>
      <xdr:rowOff>853440</xdr:rowOff>
    </xdr:to>
    <xdr:graphicFrame macro="">
      <xdr:nvGraphicFramePr>
        <xdr:cNvPr id="2" name="Диаграмма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285750</xdr:colOff>
      <xdr:row>1</xdr:row>
      <xdr:rowOff>34290</xdr:rowOff>
    </xdr:from>
    <xdr:to>
      <xdr:col>14</xdr:col>
      <xdr:colOff>590550</xdr:colOff>
      <xdr:row>16</xdr:row>
      <xdr:rowOff>34290</xdr:rowOff>
    </xdr:to>
    <xdr:graphicFrame macro="">
      <xdr:nvGraphicFramePr>
        <xdr:cNvPr id="2" name="Диаграмма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502920</xdr:colOff>
      <xdr:row>1</xdr:row>
      <xdr:rowOff>53340</xdr:rowOff>
    </xdr:from>
    <xdr:to>
      <xdr:col>12</xdr:col>
      <xdr:colOff>422910</xdr:colOff>
      <xdr:row>14</xdr:row>
      <xdr:rowOff>2743200</xdr:rowOff>
    </xdr:to>
    <xdr:graphicFrame macro="">
      <xdr:nvGraphicFramePr>
        <xdr:cNvPr id="2" name="Диаграмма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358140</xdr:colOff>
      <xdr:row>0</xdr:row>
      <xdr:rowOff>0</xdr:rowOff>
    </xdr:from>
    <xdr:to>
      <xdr:col>13</xdr:col>
      <xdr:colOff>476250</xdr:colOff>
      <xdr:row>13</xdr:row>
      <xdr:rowOff>1592580</xdr:rowOff>
    </xdr:to>
    <xdr:graphicFrame macro="">
      <xdr:nvGraphicFramePr>
        <xdr:cNvPr id="2" name="Диаграмма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38100</xdr:colOff>
      <xdr:row>2</xdr:row>
      <xdr:rowOff>15240</xdr:rowOff>
    </xdr:from>
    <xdr:to>
      <xdr:col>16</xdr:col>
      <xdr:colOff>579120</xdr:colOff>
      <xdr:row>15</xdr:row>
      <xdr:rowOff>7620</xdr:rowOff>
    </xdr:to>
    <xdr:graphicFrame macro="">
      <xdr:nvGraphicFramePr>
        <xdr:cNvPr id="3" name="Chart 2">
          <a:extLst>
            <a:ext uri="{FF2B5EF4-FFF2-40B4-BE49-F238E27FC236}">
              <a16:creationId xmlns:a16="http://schemas.microsoft.com/office/drawing/2014/main" id="{F8C9D9CD-853A-4F54-909B-EBB3B6174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5983.624891203704" createdVersion="6" refreshedVersion="6" minRefreshableVersion="3" recordCount="100" xr:uid="{00000000-000A-0000-FFFF-FFFF11000000}">
  <cacheSource type="worksheet">
    <worksheetSource ref="A1:J101" sheet="טבלת ציר"/>
  </cacheSource>
  <cacheFields count="10">
    <cacheField name="מוצר" numFmtId="0">
      <sharedItems count="5">
        <s v="מקרר"/>
        <s v="מזגן"/>
        <s v="טלפון"/>
        <s v="טלוויזיה"/>
        <s v="מחשב נייד"/>
      </sharedItems>
    </cacheField>
    <cacheField name="חנות" numFmtId="0">
      <sharedItems count="4">
        <s v="חנות תל אביב"/>
        <s v="חנות חיפה"/>
        <s v="חנות ירושלים"/>
        <s v="חנות באר שבע"/>
      </sharedItems>
    </cacheField>
    <cacheField name="סוכן" numFmtId="0">
      <sharedItems count="8">
        <s v="מיכאל"/>
        <s v="לאה"/>
        <s v="רונית"/>
        <s v="נועם"/>
        <s v="יוסי"/>
        <s v="דני"/>
        <s v="טל"/>
        <s v="שרה"/>
      </sharedItems>
    </cacheField>
    <cacheField name="חודש" numFmtId="0">
      <sharedItems count="6">
        <s v="יוני"/>
        <s v="ינואר"/>
        <s v="פברואר"/>
        <s v="אפריל"/>
        <s v="מרץ"/>
        <s v="מאי"/>
      </sharedItems>
    </cacheField>
    <cacheField name="כמות שנמכרה" numFmtId="0">
      <sharedItems containsSemiMixedTypes="0" containsString="0" containsNumber="1" containsInteger="1" minValue="2" maxValue="20"/>
    </cacheField>
    <cacheField name="עלות ליחידה בש&quot;ח" numFmtId="0">
      <sharedItems containsSemiMixedTypes="0" containsString="0" containsNumber="1" containsInteger="1" minValue="302" maxValue="2992"/>
    </cacheField>
    <cacheField name="היקף מכירות בש&quot;ח" numFmtId="0">
      <sharedItems containsSemiMixedTypes="0" containsString="0" containsNumber="1" containsInteger="1" minValue="1411" maxValue="51798"/>
    </cacheField>
    <cacheField name="רווח גולמי בש&quot;ח" numFmtId="0">
      <sharedItems containsSemiMixedTypes="0" containsString="0" containsNumber="1" containsInteger="1" minValue="104" maxValue="1983"/>
    </cacheField>
    <cacheField name="שכר חודשי בש&quot;ח" numFmtId="0">
      <sharedItems containsSemiMixedTypes="0" containsString="0" containsNumber="1" containsInteger="1" minValue="6003" maxValue="11885"/>
    </cacheField>
    <cacheField name="ספק" numFmtId="0">
      <sharedItems count="5">
        <s v="ספק ב"/>
        <s v="ספק א"/>
        <s v="ספק ג"/>
        <s v="ספק ד"/>
        <s v="ספק ה"/>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9"/>
    <n v="1303"/>
    <n v="12284"/>
    <n v="557"/>
    <n v="7143"/>
    <x v="0"/>
  </r>
  <r>
    <x v="1"/>
    <x v="0"/>
    <x v="0"/>
    <x v="1"/>
    <n v="19"/>
    <n v="2028"/>
    <n v="38697"/>
    <n v="165"/>
    <n v="6244"/>
    <x v="1"/>
  </r>
  <r>
    <x v="2"/>
    <x v="0"/>
    <x v="0"/>
    <x v="2"/>
    <n v="17"/>
    <n v="2765"/>
    <n v="47159"/>
    <n v="154"/>
    <n v="10597"/>
    <x v="2"/>
  </r>
  <r>
    <x v="1"/>
    <x v="1"/>
    <x v="1"/>
    <x v="3"/>
    <n v="8"/>
    <n v="2139"/>
    <n v="18418"/>
    <n v="1306"/>
    <n v="8278"/>
    <x v="2"/>
  </r>
  <r>
    <x v="2"/>
    <x v="0"/>
    <x v="2"/>
    <x v="0"/>
    <n v="14"/>
    <n v="1693"/>
    <n v="24371"/>
    <n v="669"/>
    <n v="7273"/>
    <x v="0"/>
  </r>
  <r>
    <x v="3"/>
    <x v="1"/>
    <x v="1"/>
    <x v="1"/>
    <n v="3"/>
    <n v="1856"/>
    <n v="5866"/>
    <n v="298"/>
    <n v="8940"/>
    <x v="2"/>
  </r>
  <r>
    <x v="1"/>
    <x v="2"/>
    <x v="3"/>
    <x v="4"/>
    <n v="2"/>
    <n v="2181"/>
    <n v="5560"/>
    <n v="1198"/>
    <n v="7022"/>
    <x v="1"/>
  </r>
  <r>
    <x v="0"/>
    <x v="3"/>
    <x v="4"/>
    <x v="5"/>
    <n v="10"/>
    <n v="2874"/>
    <n v="30106"/>
    <n v="1366"/>
    <n v="8962"/>
    <x v="0"/>
  </r>
  <r>
    <x v="0"/>
    <x v="1"/>
    <x v="1"/>
    <x v="1"/>
    <n v="8"/>
    <n v="1485"/>
    <n v="12143"/>
    <n v="263"/>
    <n v="7907"/>
    <x v="0"/>
  </r>
  <r>
    <x v="4"/>
    <x v="0"/>
    <x v="0"/>
    <x v="4"/>
    <n v="15"/>
    <n v="2903"/>
    <n v="45353"/>
    <n v="1808"/>
    <n v="8988"/>
    <x v="3"/>
  </r>
  <r>
    <x v="3"/>
    <x v="1"/>
    <x v="5"/>
    <x v="4"/>
    <n v="7"/>
    <n v="1393"/>
    <n v="11288"/>
    <n v="1537"/>
    <n v="11599"/>
    <x v="2"/>
  </r>
  <r>
    <x v="1"/>
    <x v="0"/>
    <x v="0"/>
    <x v="0"/>
    <n v="6"/>
    <n v="2487"/>
    <n v="16515"/>
    <n v="1593"/>
    <n v="8005"/>
    <x v="2"/>
  </r>
  <r>
    <x v="4"/>
    <x v="1"/>
    <x v="5"/>
    <x v="3"/>
    <n v="9"/>
    <n v="2921"/>
    <n v="27798"/>
    <n v="1509"/>
    <n v="10562"/>
    <x v="4"/>
  </r>
  <r>
    <x v="3"/>
    <x v="1"/>
    <x v="1"/>
    <x v="1"/>
    <n v="8"/>
    <n v="431"/>
    <n v="5196"/>
    <n v="1748"/>
    <n v="8584"/>
    <x v="3"/>
  </r>
  <r>
    <x v="3"/>
    <x v="3"/>
    <x v="4"/>
    <x v="1"/>
    <n v="7"/>
    <n v="2623"/>
    <n v="20255"/>
    <n v="1894"/>
    <n v="11881"/>
    <x v="3"/>
  </r>
  <r>
    <x v="2"/>
    <x v="2"/>
    <x v="3"/>
    <x v="0"/>
    <n v="16"/>
    <n v="1920"/>
    <n v="32631"/>
    <n v="1911"/>
    <n v="11266"/>
    <x v="2"/>
  </r>
  <r>
    <x v="2"/>
    <x v="3"/>
    <x v="6"/>
    <x v="4"/>
    <n v="5"/>
    <n v="1310"/>
    <n v="8175"/>
    <n v="1625"/>
    <n v="10598"/>
    <x v="0"/>
  </r>
  <r>
    <x v="1"/>
    <x v="2"/>
    <x v="7"/>
    <x v="3"/>
    <n v="19"/>
    <n v="1935"/>
    <n v="37606"/>
    <n v="841"/>
    <n v="7796"/>
    <x v="1"/>
  </r>
  <r>
    <x v="1"/>
    <x v="1"/>
    <x v="5"/>
    <x v="3"/>
    <n v="3"/>
    <n v="492"/>
    <n v="3339"/>
    <n v="1863"/>
    <n v="6898"/>
    <x v="1"/>
  </r>
  <r>
    <x v="2"/>
    <x v="1"/>
    <x v="5"/>
    <x v="0"/>
    <n v="14"/>
    <n v="2742"/>
    <n v="38618"/>
    <n v="230"/>
    <n v="9152"/>
    <x v="0"/>
  </r>
  <r>
    <x v="1"/>
    <x v="3"/>
    <x v="4"/>
    <x v="3"/>
    <n v="17"/>
    <n v="1329"/>
    <n v="23826"/>
    <n v="1233"/>
    <n v="6094"/>
    <x v="2"/>
  </r>
  <r>
    <x v="1"/>
    <x v="0"/>
    <x v="0"/>
    <x v="4"/>
    <n v="11"/>
    <n v="756"/>
    <n v="9017"/>
    <n v="701"/>
    <n v="9561"/>
    <x v="1"/>
  </r>
  <r>
    <x v="4"/>
    <x v="1"/>
    <x v="5"/>
    <x v="1"/>
    <n v="9"/>
    <n v="2350"/>
    <n v="22810"/>
    <n v="1660"/>
    <n v="7463"/>
    <x v="3"/>
  </r>
  <r>
    <x v="3"/>
    <x v="0"/>
    <x v="0"/>
    <x v="0"/>
    <n v="17"/>
    <n v="2794"/>
    <n v="48005"/>
    <n v="507"/>
    <n v="7252"/>
    <x v="3"/>
  </r>
  <r>
    <x v="2"/>
    <x v="2"/>
    <x v="3"/>
    <x v="5"/>
    <n v="17"/>
    <n v="302"/>
    <n v="6460"/>
    <n v="1326"/>
    <n v="8655"/>
    <x v="0"/>
  </r>
  <r>
    <x v="0"/>
    <x v="3"/>
    <x v="6"/>
    <x v="1"/>
    <n v="12"/>
    <n v="1559"/>
    <n v="19298"/>
    <n v="590"/>
    <n v="6474"/>
    <x v="1"/>
  </r>
  <r>
    <x v="1"/>
    <x v="1"/>
    <x v="1"/>
    <x v="1"/>
    <n v="3"/>
    <n v="2290"/>
    <n v="8641"/>
    <n v="1771"/>
    <n v="6566"/>
    <x v="2"/>
  </r>
  <r>
    <x v="2"/>
    <x v="1"/>
    <x v="5"/>
    <x v="0"/>
    <n v="16"/>
    <n v="2551"/>
    <n v="41254"/>
    <n v="438"/>
    <n v="8171"/>
    <x v="0"/>
  </r>
  <r>
    <x v="2"/>
    <x v="3"/>
    <x v="4"/>
    <x v="5"/>
    <n v="7"/>
    <n v="1576"/>
    <n v="11949"/>
    <n v="917"/>
    <n v="11502"/>
    <x v="2"/>
  </r>
  <r>
    <x v="4"/>
    <x v="2"/>
    <x v="3"/>
    <x v="5"/>
    <n v="15"/>
    <n v="795"/>
    <n v="12532"/>
    <n v="607"/>
    <n v="7840"/>
    <x v="4"/>
  </r>
  <r>
    <x v="3"/>
    <x v="0"/>
    <x v="0"/>
    <x v="1"/>
    <n v="19"/>
    <n v="2568"/>
    <n v="49363"/>
    <n v="571"/>
    <n v="10820"/>
    <x v="3"/>
  </r>
  <r>
    <x v="0"/>
    <x v="1"/>
    <x v="1"/>
    <x v="1"/>
    <n v="2"/>
    <n v="1237"/>
    <n v="2712"/>
    <n v="238"/>
    <n v="6257"/>
    <x v="1"/>
  </r>
  <r>
    <x v="0"/>
    <x v="2"/>
    <x v="3"/>
    <x v="5"/>
    <n v="8"/>
    <n v="1440"/>
    <n v="12990"/>
    <n v="1470"/>
    <n v="9976"/>
    <x v="0"/>
  </r>
  <r>
    <x v="1"/>
    <x v="1"/>
    <x v="1"/>
    <x v="2"/>
    <n v="19"/>
    <n v="2660"/>
    <n v="51608"/>
    <n v="1068"/>
    <n v="7990"/>
    <x v="2"/>
  </r>
  <r>
    <x v="4"/>
    <x v="3"/>
    <x v="6"/>
    <x v="2"/>
    <n v="4"/>
    <n v="697"/>
    <n v="4237"/>
    <n v="1449"/>
    <n v="9531"/>
    <x v="3"/>
  </r>
  <r>
    <x v="4"/>
    <x v="2"/>
    <x v="3"/>
    <x v="3"/>
    <n v="15"/>
    <n v="521"/>
    <n v="9294"/>
    <n v="1479"/>
    <n v="11353"/>
    <x v="3"/>
  </r>
  <r>
    <x v="0"/>
    <x v="0"/>
    <x v="0"/>
    <x v="3"/>
    <n v="11"/>
    <n v="747"/>
    <n v="8826"/>
    <n v="609"/>
    <n v="7569"/>
    <x v="0"/>
  </r>
  <r>
    <x v="1"/>
    <x v="1"/>
    <x v="1"/>
    <x v="3"/>
    <n v="5"/>
    <n v="2028"/>
    <n v="10615"/>
    <n v="475"/>
    <n v="8281"/>
    <x v="2"/>
  </r>
  <r>
    <x v="2"/>
    <x v="3"/>
    <x v="6"/>
    <x v="1"/>
    <n v="15"/>
    <n v="2554"/>
    <n v="38610"/>
    <n v="300"/>
    <n v="6414"/>
    <x v="2"/>
  </r>
  <r>
    <x v="0"/>
    <x v="0"/>
    <x v="2"/>
    <x v="2"/>
    <n v="6"/>
    <n v="1964"/>
    <n v="12878"/>
    <n v="1094"/>
    <n v="9943"/>
    <x v="0"/>
  </r>
  <r>
    <x v="4"/>
    <x v="1"/>
    <x v="1"/>
    <x v="1"/>
    <n v="6"/>
    <n v="1852"/>
    <n v="11216"/>
    <n v="104"/>
    <n v="9198"/>
    <x v="3"/>
  </r>
  <r>
    <x v="4"/>
    <x v="2"/>
    <x v="7"/>
    <x v="4"/>
    <n v="14"/>
    <n v="2576"/>
    <n v="37519"/>
    <n v="1455"/>
    <n v="11885"/>
    <x v="4"/>
  </r>
  <r>
    <x v="2"/>
    <x v="3"/>
    <x v="6"/>
    <x v="2"/>
    <n v="10"/>
    <n v="1191"/>
    <n v="12129"/>
    <n v="219"/>
    <n v="10744"/>
    <x v="0"/>
  </r>
  <r>
    <x v="3"/>
    <x v="0"/>
    <x v="2"/>
    <x v="1"/>
    <n v="2"/>
    <n v="2692"/>
    <n v="6460"/>
    <n v="1076"/>
    <n v="10119"/>
    <x v="3"/>
  </r>
  <r>
    <x v="0"/>
    <x v="1"/>
    <x v="5"/>
    <x v="5"/>
    <n v="3"/>
    <n v="1061"/>
    <n v="3423"/>
    <n v="240"/>
    <n v="10874"/>
    <x v="1"/>
  </r>
  <r>
    <x v="2"/>
    <x v="0"/>
    <x v="0"/>
    <x v="3"/>
    <n v="4"/>
    <n v="2633"/>
    <n v="11136"/>
    <n v="604"/>
    <n v="10742"/>
    <x v="0"/>
  </r>
  <r>
    <x v="1"/>
    <x v="0"/>
    <x v="2"/>
    <x v="1"/>
    <n v="14"/>
    <n v="2992"/>
    <n v="43183"/>
    <n v="1295"/>
    <n v="10630"/>
    <x v="1"/>
  </r>
  <r>
    <x v="3"/>
    <x v="2"/>
    <x v="3"/>
    <x v="2"/>
    <n v="11"/>
    <n v="1277"/>
    <n v="14690"/>
    <n v="643"/>
    <n v="9242"/>
    <x v="3"/>
  </r>
  <r>
    <x v="3"/>
    <x v="1"/>
    <x v="5"/>
    <x v="3"/>
    <n v="11"/>
    <n v="597"/>
    <n v="6686"/>
    <n v="119"/>
    <n v="9754"/>
    <x v="2"/>
  </r>
  <r>
    <x v="0"/>
    <x v="0"/>
    <x v="0"/>
    <x v="5"/>
    <n v="7"/>
    <n v="2372"/>
    <n v="17247"/>
    <n v="643"/>
    <n v="7085"/>
    <x v="0"/>
  </r>
  <r>
    <x v="0"/>
    <x v="2"/>
    <x v="3"/>
    <x v="2"/>
    <n v="12"/>
    <n v="1467"/>
    <n v="18027"/>
    <n v="423"/>
    <n v="9589"/>
    <x v="0"/>
  </r>
  <r>
    <x v="1"/>
    <x v="2"/>
    <x v="7"/>
    <x v="0"/>
    <n v="17"/>
    <n v="332"/>
    <n v="7111"/>
    <n v="1467"/>
    <n v="10543"/>
    <x v="2"/>
  </r>
  <r>
    <x v="0"/>
    <x v="2"/>
    <x v="7"/>
    <x v="2"/>
    <n v="9"/>
    <n v="772"/>
    <n v="8870"/>
    <n v="1922"/>
    <n v="6876"/>
    <x v="1"/>
  </r>
  <r>
    <x v="3"/>
    <x v="1"/>
    <x v="5"/>
    <x v="4"/>
    <n v="20"/>
    <n v="1162"/>
    <n v="24809"/>
    <n v="1569"/>
    <n v="8808"/>
    <x v="2"/>
  </r>
  <r>
    <x v="3"/>
    <x v="1"/>
    <x v="1"/>
    <x v="5"/>
    <n v="16"/>
    <n v="1328"/>
    <n v="23202"/>
    <n v="1954"/>
    <n v="6416"/>
    <x v="3"/>
  </r>
  <r>
    <x v="4"/>
    <x v="0"/>
    <x v="0"/>
    <x v="4"/>
    <n v="2"/>
    <n v="314"/>
    <n v="1411"/>
    <n v="783"/>
    <n v="7071"/>
    <x v="4"/>
  </r>
  <r>
    <x v="2"/>
    <x v="2"/>
    <x v="7"/>
    <x v="0"/>
    <n v="15"/>
    <n v="2559"/>
    <n v="39930"/>
    <n v="1545"/>
    <n v="9503"/>
    <x v="2"/>
  </r>
  <r>
    <x v="0"/>
    <x v="0"/>
    <x v="2"/>
    <x v="1"/>
    <n v="5"/>
    <n v="2534"/>
    <n v="12843"/>
    <n v="173"/>
    <n v="9024"/>
    <x v="1"/>
  </r>
  <r>
    <x v="4"/>
    <x v="1"/>
    <x v="5"/>
    <x v="2"/>
    <n v="2"/>
    <n v="1562"/>
    <n v="3970"/>
    <n v="846"/>
    <n v="6326"/>
    <x v="3"/>
  </r>
  <r>
    <x v="2"/>
    <x v="2"/>
    <x v="3"/>
    <x v="0"/>
    <n v="8"/>
    <n v="721"/>
    <n v="6592"/>
    <n v="824"/>
    <n v="10586"/>
    <x v="2"/>
  </r>
  <r>
    <x v="1"/>
    <x v="3"/>
    <x v="4"/>
    <x v="0"/>
    <n v="5"/>
    <n v="1269"/>
    <n v="8215"/>
    <n v="1870"/>
    <n v="7331"/>
    <x v="1"/>
  </r>
  <r>
    <x v="4"/>
    <x v="1"/>
    <x v="5"/>
    <x v="1"/>
    <n v="6"/>
    <n v="1660"/>
    <n v="11662"/>
    <n v="1702"/>
    <n v="9372"/>
    <x v="3"/>
  </r>
  <r>
    <x v="3"/>
    <x v="1"/>
    <x v="1"/>
    <x v="2"/>
    <n v="4"/>
    <n v="1866"/>
    <n v="9350"/>
    <n v="1886"/>
    <n v="6317"/>
    <x v="3"/>
  </r>
  <r>
    <x v="2"/>
    <x v="3"/>
    <x v="6"/>
    <x v="2"/>
    <n v="15"/>
    <n v="1732"/>
    <n v="26705"/>
    <n v="725"/>
    <n v="7864"/>
    <x v="0"/>
  </r>
  <r>
    <x v="0"/>
    <x v="1"/>
    <x v="1"/>
    <x v="0"/>
    <n v="7"/>
    <n v="1932"/>
    <n v="14296"/>
    <n v="772"/>
    <n v="8282"/>
    <x v="0"/>
  </r>
  <r>
    <x v="3"/>
    <x v="0"/>
    <x v="0"/>
    <x v="4"/>
    <n v="17"/>
    <n v="1937"/>
    <n v="34420"/>
    <n v="1491"/>
    <n v="10392"/>
    <x v="3"/>
  </r>
  <r>
    <x v="0"/>
    <x v="2"/>
    <x v="3"/>
    <x v="1"/>
    <n v="9"/>
    <n v="1031"/>
    <n v="10568"/>
    <n v="1289"/>
    <n v="8174"/>
    <x v="1"/>
  </r>
  <r>
    <x v="0"/>
    <x v="0"/>
    <x v="2"/>
    <x v="5"/>
    <n v="14"/>
    <n v="1715"/>
    <n v="25602"/>
    <n v="1592"/>
    <n v="8569"/>
    <x v="1"/>
  </r>
  <r>
    <x v="1"/>
    <x v="3"/>
    <x v="4"/>
    <x v="5"/>
    <n v="4"/>
    <n v="1877"/>
    <n v="9450"/>
    <n v="1942"/>
    <n v="10723"/>
    <x v="1"/>
  </r>
  <r>
    <x v="3"/>
    <x v="1"/>
    <x v="1"/>
    <x v="1"/>
    <n v="14"/>
    <n v="306"/>
    <n v="5448"/>
    <n v="1164"/>
    <n v="10410"/>
    <x v="2"/>
  </r>
  <r>
    <x v="3"/>
    <x v="1"/>
    <x v="1"/>
    <x v="3"/>
    <n v="3"/>
    <n v="1652"/>
    <n v="6332"/>
    <n v="1376"/>
    <n v="8571"/>
    <x v="2"/>
  </r>
  <r>
    <x v="3"/>
    <x v="0"/>
    <x v="0"/>
    <x v="5"/>
    <n v="10"/>
    <n v="1972"/>
    <n v="20488"/>
    <n v="768"/>
    <n v="9296"/>
    <x v="3"/>
  </r>
  <r>
    <x v="1"/>
    <x v="2"/>
    <x v="7"/>
    <x v="2"/>
    <n v="7"/>
    <n v="2022"/>
    <n v="15615"/>
    <n v="1461"/>
    <n v="9105"/>
    <x v="1"/>
  </r>
  <r>
    <x v="1"/>
    <x v="1"/>
    <x v="5"/>
    <x v="5"/>
    <n v="10"/>
    <n v="1963"/>
    <n v="20852"/>
    <n v="1222"/>
    <n v="6003"/>
    <x v="1"/>
  </r>
  <r>
    <x v="3"/>
    <x v="2"/>
    <x v="7"/>
    <x v="2"/>
    <n v="14"/>
    <n v="2675"/>
    <n v="38792"/>
    <n v="1342"/>
    <n v="11363"/>
    <x v="3"/>
  </r>
  <r>
    <x v="4"/>
    <x v="2"/>
    <x v="3"/>
    <x v="3"/>
    <n v="15"/>
    <n v="1175"/>
    <n v="18771"/>
    <n v="1146"/>
    <n v="9876"/>
    <x v="3"/>
  </r>
  <r>
    <x v="0"/>
    <x v="1"/>
    <x v="5"/>
    <x v="4"/>
    <n v="17"/>
    <n v="2892"/>
    <n v="50532"/>
    <n v="1368"/>
    <n v="8745"/>
    <x v="0"/>
  </r>
  <r>
    <x v="2"/>
    <x v="0"/>
    <x v="0"/>
    <x v="0"/>
    <n v="10"/>
    <n v="1220"/>
    <n v="13951"/>
    <n v="1751"/>
    <n v="7631"/>
    <x v="0"/>
  </r>
  <r>
    <x v="0"/>
    <x v="1"/>
    <x v="5"/>
    <x v="1"/>
    <n v="8"/>
    <n v="2246"/>
    <n v="19319"/>
    <n v="1351"/>
    <n v="6596"/>
    <x v="0"/>
  </r>
  <r>
    <x v="4"/>
    <x v="3"/>
    <x v="6"/>
    <x v="0"/>
    <n v="19"/>
    <n v="1096"/>
    <n v="22395"/>
    <n v="1571"/>
    <n v="11704"/>
    <x v="3"/>
  </r>
  <r>
    <x v="4"/>
    <x v="3"/>
    <x v="4"/>
    <x v="3"/>
    <n v="8"/>
    <n v="904"/>
    <n v="8675"/>
    <n v="1443"/>
    <n v="11633"/>
    <x v="3"/>
  </r>
  <r>
    <x v="0"/>
    <x v="0"/>
    <x v="2"/>
    <x v="3"/>
    <n v="8"/>
    <n v="1020"/>
    <n v="9906"/>
    <n v="1746"/>
    <n v="11700"/>
    <x v="1"/>
  </r>
  <r>
    <x v="0"/>
    <x v="3"/>
    <x v="6"/>
    <x v="5"/>
    <n v="8"/>
    <n v="797"/>
    <n v="7410"/>
    <n v="1034"/>
    <n v="7092"/>
    <x v="1"/>
  </r>
  <r>
    <x v="1"/>
    <x v="3"/>
    <x v="6"/>
    <x v="5"/>
    <n v="20"/>
    <n v="1599"/>
    <n v="33626"/>
    <n v="1646"/>
    <n v="9625"/>
    <x v="1"/>
  </r>
  <r>
    <x v="1"/>
    <x v="3"/>
    <x v="4"/>
    <x v="3"/>
    <n v="6"/>
    <n v="2244"/>
    <n v="14485"/>
    <n v="1021"/>
    <n v="8123"/>
    <x v="1"/>
  </r>
  <r>
    <x v="3"/>
    <x v="1"/>
    <x v="1"/>
    <x v="5"/>
    <n v="16"/>
    <n v="2867"/>
    <n v="46461"/>
    <n v="589"/>
    <n v="8249"/>
    <x v="3"/>
  </r>
  <r>
    <x v="0"/>
    <x v="3"/>
    <x v="6"/>
    <x v="0"/>
    <n v="10"/>
    <n v="1260"/>
    <n v="13256"/>
    <n v="656"/>
    <n v="8751"/>
    <x v="1"/>
  </r>
  <r>
    <x v="1"/>
    <x v="2"/>
    <x v="3"/>
    <x v="1"/>
    <n v="5"/>
    <n v="917"/>
    <n v="5158"/>
    <n v="573"/>
    <n v="9137"/>
    <x v="2"/>
  </r>
  <r>
    <x v="2"/>
    <x v="1"/>
    <x v="5"/>
    <x v="1"/>
    <n v="14"/>
    <n v="1969"/>
    <n v="28343"/>
    <n v="777"/>
    <n v="10445"/>
    <x v="2"/>
  </r>
  <r>
    <x v="4"/>
    <x v="3"/>
    <x v="6"/>
    <x v="1"/>
    <n v="7"/>
    <n v="2020"/>
    <n v="15037"/>
    <n v="897"/>
    <n v="10784"/>
    <x v="4"/>
  </r>
  <r>
    <x v="1"/>
    <x v="0"/>
    <x v="2"/>
    <x v="3"/>
    <n v="16"/>
    <n v="324"/>
    <n v="6004"/>
    <n v="820"/>
    <n v="8446"/>
    <x v="2"/>
  </r>
  <r>
    <x v="4"/>
    <x v="3"/>
    <x v="4"/>
    <x v="5"/>
    <n v="18"/>
    <n v="2770"/>
    <n v="51798"/>
    <n v="1938"/>
    <n v="7806"/>
    <x v="3"/>
  </r>
  <r>
    <x v="2"/>
    <x v="3"/>
    <x v="6"/>
    <x v="4"/>
    <n v="14"/>
    <n v="2289"/>
    <n v="32205"/>
    <n v="159"/>
    <n v="9185"/>
    <x v="2"/>
  </r>
  <r>
    <x v="4"/>
    <x v="2"/>
    <x v="3"/>
    <x v="0"/>
    <n v="6"/>
    <n v="2214"/>
    <n v="15267"/>
    <n v="1983"/>
    <n v="7045"/>
    <x v="4"/>
  </r>
  <r>
    <x v="4"/>
    <x v="0"/>
    <x v="2"/>
    <x v="5"/>
    <n v="19"/>
    <n v="411"/>
    <n v="8080"/>
    <n v="271"/>
    <n v="11265"/>
    <x v="4"/>
  </r>
  <r>
    <x v="2"/>
    <x v="3"/>
    <x v="4"/>
    <x v="3"/>
    <n v="6"/>
    <n v="505"/>
    <n v="3662"/>
    <n v="632"/>
    <n v="9105"/>
    <x v="2"/>
  </r>
  <r>
    <x v="2"/>
    <x v="2"/>
    <x v="3"/>
    <x v="3"/>
    <n v="11"/>
    <n v="1682"/>
    <n v="20160"/>
    <n v="1658"/>
    <n v="9105"/>
    <x v="2"/>
  </r>
  <r>
    <x v="4"/>
    <x v="2"/>
    <x v="7"/>
    <x v="4"/>
    <n v="3"/>
    <n v="2226"/>
    <n v="6817"/>
    <n v="139"/>
    <n v="10418"/>
    <x v="3"/>
  </r>
  <r>
    <x v="3"/>
    <x v="0"/>
    <x v="2"/>
    <x v="2"/>
    <n v="3"/>
    <n v="2969"/>
    <n v="9089"/>
    <n v="182"/>
    <n v="6254"/>
    <x v="3"/>
  </r>
  <r>
    <x v="2"/>
    <x v="1"/>
    <x v="1"/>
    <x v="1"/>
    <n v="20"/>
    <n v="924"/>
    <n v="19068"/>
    <n v="588"/>
    <n v="70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Сводная таблица6"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chartFormat="2">
  <location ref="A3:G10" firstHeaderRow="1" firstDataRow="2" firstDataCol="1"/>
  <pivotFields count="10">
    <pivotField axis="axisCol" showAll="0">
      <items count="6">
        <item x="3"/>
        <item x="2"/>
        <item x="1"/>
        <item x="4"/>
        <item x="0"/>
        <item t="default"/>
      </items>
    </pivotField>
    <pivotField showAll="0"/>
    <pivotField showAll="0"/>
    <pivotField showAll="0"/>
    <pivotField showAll="0"/>
    <pivotField dataField="1" showAll="0"/>
    <pivotField showAll="0"/>
    <pivotField showAll="0"/>
    <pivotField showAll="0"/>
    <pivotField axis="axisRow" showAll="0" defaultSubtotal="0">
      <items count="5">
        <item x="1"/>
        <item x="0"/>
        <item x="2"/>
        <item x="3"/>
        <item x="4"/>
      </items>
    </pivotField>
  </pivotFields>
  <rowFields count="1">
    <field x="9"/>
  </rowFields>
  <rowItems count="6">
    <i>
      <x/>
    </i>
    <i>
      <x v="1"/>
    </i>
    <i>
      <x v="2"/>
    </i>
    <i>
      <x v="3"/>
    </i>
    <i>
      <x v="4"/>
    </i>
    <i t="grand">
      <x/>
    </i>
  </rowItems>
  <colFields count="1">
    <field x="0"/>
  </colFields>
  <colItems count="6">
    <i>
      <x/>
    </i>
    <i>
      <x v="1"/>
    </i>
    <i>
      <x v="2"/>
    </i>
    <i>
      <x v="3"/>
    </i>
    <i>
      <x v="4"/>
    </i>
    <i t="grand">
      <x/>
    </i>
  </colItems>
  <dataFields count="1">
    <dataField name="Min of עלות ליחידה בש&quot;ח" fld="5" subtotal="min" baseField="9" baseItem="1"/>
  </dataFields>
  <formats count="10">
    <format dxfId="53">
      <pivotArea type="all" dataOnly="0" outline="0" fieldPosition="0"/>
    </format>
    <format dxfId="52">
      <pivotArea outline="0" collapsedLevelsAreSubtotals="1" fieldPosition="0"/>
    </format>
    <format dxfId="51">
      <pivotArea type="origin" dataOnly="0" labelOnly="1" outline="0" fieldPosition="0"/>
    </format>
    <format dxfId="50">
      <pivotArea field="0" type="button" dataOnly="0" labelOnly="1" outline="0" axis="axisCol" fieldPosition="0"/>
    </format>
    <format dxfId="49">
      <pivotArea type="topRight" dataOnly="0" labelOnly="1" outline="0" fieldPosition="0"/>
    </format>
    <format dxfId="48">
      <pivotArea field="9" type="button" dataOnly="0" labelOnly="1" outline="0" axis="axisRow" fieldPosition="0"/>
    </format>
    <format dxfId="47">
      <pivotArea dataOnly="0" labelOnly="1" fieldPosition="0">
        <references count="1">
          <reference field="9" count="0"/>
        </references>
      </pivotArea>
    </format>
    <format dxfId="46">
      <pivotArea dataOnly="0" labelOnly="1" grandRow="1" outline="0" fieldPosition="0"/>
    </format>
    <format dxfId="45">
      <pivotArea dataOnly="0" labelOnly="1" fieldPosition="0">
        <references count="1">
          <reference field="0" count="0"/>
        </references>
      </pivotArea>
    </format>
    <format dxfId="44">
      <pivotArea dataOnly="0" labelOnly="1" grandCol="1" outline="0" fieldPosition="0"/>
    </format>
  </formats>
  <chartFormats count="10">
    <chartFormat chart="1" format="10" series="1">
      <pivotArea type="data" outline="0" fieldPosition="0">
        <references count="1">
          <reference field="0" count="1" selected="0">
            <x v="0"/>
          </reference>
        </references>
      </pivotArea>
    </chartFormat>
    <chartFormat chart="1" format="11" series="1">
      <pivotArea type="data" outline="0" fieldPosition="0">
        <references count="1">
          <reference field="0" count="1" selected="0">
            <x v="1"/>
          </reference>
        </references>
      </pivotArea>
    </chartFormat>
    <chartFormat chart="1" format="12" series="1">
      <pivotArea type="data" outline="0" fieldPosition="0">
        <references count="1">
          <reference field="0" count="1" selected="0">
            <x v="2"/>
          </reference>
        </references>
      </pivotArea>
    </chartFormat>
    <chartFormat chart="1" format="13" series="1">
      <pivotArea type="data" outline="0" fieldPosition="0">
        <references count="1">
          <reference field="0" count="1" selected="0">
            <x v="3"/>
          </reference>
        </references>
      </pivotArea>
    </chartFormat>
    <chartFormat chart="1" format="14" series="1">
      <pivotArea type="data" outline="0" fieldPosition="0">
        <references count="1">
          <reference field="0" count="1" selected="0">
            <x v="4"/>
          </reference>
        </references>
      </pivotArea>
    </chartFormat>
    <chartFormat chart="1" format="15" series="1">
      <pivotArea type="data" outline="0" fieldPosition="0">
        <references count="2">
          <reference field="4294967294" count="1" selected="0">
            <x v="0"/>
          </reference>
          <reference field="0" count="1" selected="0">
            <x v="0"/>
          </reference>
        </references>
      </pivotArea>
    </chartFormat>
    <chartFormat chart="1" format="16" series="1">
      <pivotArea type="data" outline="0" fieldPosition="0">
        <references count="2">
          <reference field="4294967294" count="1" selected="0">
            <x v="0"/>
          </reference>
          <reference field="0" count="1" selected="0">
            <x v="1"/>
          </reference>
        </references>
      </pivotArea>
    </chartFormat>
    <chartFormat chart="1" format="17" series="1">
      <pivotArea type="data" outline="0" fieldPosition="0">
        <references count="2">
          <reference field="4294967294" count="1" selected="0">
            <x v="0"/>
          </reference>
          <reference field="0" count="1" selected="0">
            <x v="2"/>
          </reference>
        </references>
      </pivotArea>
    </chartFormat>
    <chartFormat chart="1" format="18" series="1">
      <pivotArea type="data" outline="0" fieldPosition="0">
        <references count="2">
          <reference field="4294967294" count="1" selected="0">
            <x v="0"/>
          </reference>
          <reference field="0" count="1" selected="0">
            <x v="3"/>
          </reference>
        </references>
      </pivotArea>
    </chartFormat>
    <chartFormat chart="1" format="19"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Сводная таблица5"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chartFormat="1">
  <location ref="A3:C8" firstHeaderRow="0" firstDataRow="1" firstDataCol="1"/>
  <pivotFields count="10">
    <pivotField dataField="1" showAll="0"/>
    <pivotField axis="axisRow" showAll="0">
      <items count="5">
        <item x="3"/>
        <item x="1"/>
        <item x="2"/>
        <item x="0"/>
        <item t="default"/>
      </items>
    </pivotField>
    <pivotField showAll="0"/>
    <pivotField showAll="0"/>
    <pivotField showAll="0"/>
    <pivotField showAll="0"/>
    <pivotField dataField="1" showAll="0"/>
    <pivotField showAll="0"/>
    <pivotField showAll="0"/>
    <pivotField showAll="0" defaultSubtotal="0"/>
  </pivotFields>
  <rowFields count="1">
    <field x="1"/>
  </rowFields>
  <rowItems count="5">
    <i>
      <x/>
    </i>
    <i>
      <x v="1"/>
    </i>
    <i>
      <x v="2"/>
    </i>
    <i>
      <x v="3"/>
    </i>
    <i t="grand">
      <x/>
    </i>
  </rowItems>
  <colFields count="1">
    <field x="-2"/>
  </colFields>
  <colItems count="2">
    <i>
      <x/>
    </i>
    <i i="1">
      <x v="1"/>
    </i>
  </colItems>
  <dataFields count="2">
    <dataField name="Count of מוצר" fld="0" subtotal="count" baseField="0" baseItem="0"/>
    <dataField name="Sum of היקף מכירות בש&quot;ח" fld="6" baseField="0" baseItem="0"/>
  </dataFields>
  <formats count="5">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s>
  <chartFormats count="2">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Сводная таблица4"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chartFormat="1">
  <location ref="A3:G11" firstHeaderRow="1" firstDataRow="2" firstDataCol="1"/>
  <pivotFields count="10">
    <pivotField axis="axisCol" showAll="0">
      <items count="6">
        <item x="3"/>
        <item x="2"/>
        <item x="1"/>
        <item x="4"/>
        <item x="0"/>
        <item t="default"/>
      </items>
    </pivotField>
    <pivotField showAll="0"/>
    <pivotField showAll="0"/>
    <pivotField axis="axisRow" showAll="0">
      <items count="7">
        <item x="3"/>
        <item x="0"/>
        <item x="1"/>
        <item x="5"/>
        <item x="4"/>
        <item x="2"/>
        <item t="default"/>
      </items>
    </pivotField>
    <pivotField dataField="1" showAll="0"/>
    <pivotField showAll="0"/>
    <pivotField showAll="0"/>
    <pivotField showAll="0"/>
    <pivotField showAll="0"/>
    <pivotField showAll="0" defaultSubtotal="0"/>
  </pivotFields>
  <rowFields count="1">
    <field x="3"/>
  </rowFields>
  <rowItems count="7">
    <i>
      <x/>
    </i>
    <i>
      <x v="1"/>
    </i>
    <i>
      <x v="2"/>
    </i>
    <i>
      <x v="3"/>
    </i>
    <i>
      <x v="4"/>
    </i>
    <i>
      <x v="5"/>
    </i>
    <i t="grand">
      <x/>
    </i>
  </rowItems>
  <colFields count="1">
    <field x="0"/>
  </colFields>
  <colItems count="6">
    <i>
      <x/>
    </i>
    <i>
      <x v="1"/>
    </i>
    <i>
      <x v="2"/>
    </i>
    <i>
      <x v="3"/>
    </i>
    <i>
      <x v="4"/>
    </i>
    <i t="grand">
      <x/>
    </i>
  </colItems>
  <dataFields count="1">
    <dataField name="Sum of כמות שנמכרה" fld="4" baseField="0" baseItem="0"/>
  </dataFields>
  <formats count="10">
    <format dxfId="38">
      <pivotArea type="all" dataOnly="0" outline="0" fieldPosition="0"/>
    </format>
    <format dxfId="37">
      <pivotArea outline="0" collapsedLevelsAreSubtotals="1" fieldPosition="0"/>
    </format>
    <format dxfId="36">
      <pivotArea type="origin" dataOnly="0" labelOnly="1" outline="0" fieldPosition="0"/>
    </format>
    <format dxfId="35">
      <pivotArea field="0" type="button" dataOnly="0" labelOnly="1" outline="0" axis="axisCol" fieldPosition="0"/>
    </format>
    <format dxfId="34">
      <pivotArea type="topRight" dataOnly="0" labelOnly="1" outline="0"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grandRow="1" outline="0" fieldPosition="0"/>
    </format>
    <format dxfId="30">
      <pivotArea dataOnly="0" labelOnly="1" fieldPosition="0">
        <references count="1">
          <reference field="0" count="0"/>
        </references>
      </pivotArea>
    </format>
    <format dxfId="29">
      <pivotArea dataOnly="0" labelOnly="1" grandCol="1" outline="0" fieldPosition="0"/>
    </format>
  </formats>
  <chartFormats count="10">
    <chartFormat chart="0" format="10" series="1">
      <pivotArea type="data" outline="0" fieldPosition="0">
        <references count="1">
          <reference field="0" count="1" selected="0">
            <x v="0"/>
          </reference>
        </references>
      </pivotArea>
    </chartFormat>
    <chartFormat chart="0" format="11" series="1">
      <pivotArea type="data" outline="0" fieldPosition="0">
        <references count="1">
          <reference field="0" count="1" selected="0">
            <x v="1"/>
          </reference>
        </references>
      </pivotArea>
    </chartFormat>
    <chartFormat chart="0" format="12" series="1">
      <pivotArea type="data" outline="0" fieldPosition="0">
        <references count="1">
          <reference field="0" count="1" selected="0">
            <x v="2"/>
          </reference>
        </references>
      </pivotArea>
    </chartFormat>
    <chartFormat chart="0" format="13" series="1">
      <pivotArea type="data" outline="0" fieldPosition="0">
        <references count="1">
          <reference field="0" count="1" selected="0">
            <x v="3"/>
          </reference>
        </references>
      </pivotArea>
    </chartFormat>
    <chartFormat chart="0" format="14" series="1">
      <pivotArea type="data" outline="0" fieldPosition="0">
        <references count="1">
          <reference field="0" count="1" selected="0">
            <x v="4"/>
          </reference>
        </references>
      </pivotArea>
    </chartFormat>
    <chartFormat chart="0" format="15" series="1">
      <pivotArea type="data" outline="0" fieldPosition="0">
        <references count="2">
          <reference field="4294967294" count="1" selected="0">
            <x v="0"/>
          </reference>
          <reference field="0" count="1" selected="0">
            <x v="0"/>
          </reference>
        </references>
      </pivotArea>
    </chartFormat>
    <chartFormat chart="0" format="16" series="1">
      <pivotArea type="data" outline="0" fieldPosition="0">
        <references count="2">
          <reference field="4294967294" count="1" selected="0">
            <x v="0"/>
          </reference>
          <reference field="0" count="1" selected="0">
            <x v="1"/>
          </reference>
        </references>
      </pivotArea>
    </chartFormat>
    <chartFormat chart="0" format="17" series="1">
      <pivotArea type="data" outline="0" fieldPosition="0">
        <references count="2">
          <reference field="4294967294" count="1" selected="0">
            <x v="0"/>
          </reference>
          <reference field="0" count="1" selected="0">
            <x v="2"/>
          </reference>
        </references>
      </pivotArea>
    </chartFormat>
    <chartFormat chart="0" format="18" series="1">
      <pivotArea type="data" outline="0" fieldPosition="0">
        <references count="2">
          <reference field="4294967294" count="1" selected="0">
            <x v="0"/>
          </reference>
          <reference field="0" count="1" selected="0">
            <x v="3"/>
          </reference>
        </references>
      </pivotArea>
    </chartFormat>
    <chartFormat chart="0" format="19"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Сводная таблица3"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chartFormat="1">
  <location ref="A3:C12" firstHeaderRow="0" firstDataRow="1" firstDataCol="1" rowPageCount="1" colPageCount="1"/>
  <pivotFields count="10">
    <pivotField axis="axisPage" showAll="0">
      <items count="6">
        <item x="3"/>
        <item x="2"/>
        <item x="1"/>
        <item x="4"/>
        <item x="0"/>
        <item t="default"/>
      </items>
    </pivotField>
    <pivotField showAll="0"/>
    <pivotField axis="axisRow" showAll="0">
      <items count="9">
        <item x="5"/>
        <item x="6"/>
        <item x="4"/>
        <item x="1"/>
        <item x="0"/>
        <item x="3"/>
        <item x="2"/>
        <item x="7"/>
        <item t="default"/>
      </items>
    </pivotField>
    <pivotField showAll="0">
      <items count="7">
        <item x="3"/>
        <item x="0"/>
        <item x="1"/>
        <item x="5"/>
        <item x="4"/>
        <item x="2"/>
        <item t="default"/>
      </items>
    </pivotField>
    <pivotField dataField="1" showAll="0"/>
    <pivotField showAll="0"/>
    <pivotField showAll="0"/>
    <pivotField dataField="1" showAll="0"/>
    <pivotField showAll="0"/>
    <pivotField showAll="0" defaultSubtotal="0"/>
  </pivotFields>
  <rowFields count="1">
    <field x="2"/>
  </rowFields>
  <rowItems count="9">
    <i>
      <x/>
    </i>
    <i>
      <x v="1"/>
    </i>
    <i>
      <x v="2"/>
    </i>
    <i>
      <x v="3"/>
    </i>
    <i>
      <x v="4"/>
    </i>
    <i>
      <x v="5"/>
    </i>
    <i>
      <x v="6"/>
    </i>
    <i>
      <x v="7"/>
    </i>
    <i t="grand">
      <x/>
    </i>
  </rowItems>
  <colFields count="1">
    <field x="-2"/>
  </colFields>
  <colItems count="2">
    <i>
      <x/>
    </i>
    <i i="1">
      <x v="1"/>
    </i>
  </colItems>
  <pageFields count="1">
    <pageField fld="0" hier="-1"/>
  </pageFields>
  <dataFields count="2">
    <dataField name="Sum of רווח גולמי בש&quot;ח" fld="7" baseField="0" baseItem="0"/>
    <dataField name="Sum of כמות שנמכרה" fld="4" baseField="0" baseItem="0"/>
  </dataFields>
  <formats count="9">
    <format dxfId="28">
      <pivotArea type="all" dataOnly="0" outline="0" fieldPosition="0"/>
    </format>
    <format dxfId="27">
      <pivotArea outline="0" collapsedLevelsAreSubtotals="1" fieldPosition="0"/>
    </format>
    <format dxfId="26">
      <pivotArea type="origin" dataOnly="0" labelOnly="1" outline="0" fieldPosition="0"/>
    </format>
    <format dxfId="25">
      <pivotArea field="3" type="button" dataOnly="0" labelOnly="1" outline="0"/>
    </format>
    <format dxfId="24">
      <pivotArea type="topRight" dataOnly="0" labelOnly="1" outline="0"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dataOnly="0" labelOnly="1" grandCol="1" outline="0" fieldPosition="0"/>
    </format>
  </formats>
  <chartFormats count="2">
    <chartFormat chart="0" format="16"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Сводная таблица2"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chartFormat="1">
  <location ref="A3:F10" firstHeaderRow="1" firstDataRow="2" firstDataCol="1"/>
  <pivotFields count="10">
    <pivotField axis="axisRow" showAll="0">
      <items count="6">
        <item x="3"/>
        <item x="2"/>
        <item x="1"/>
        <item x="4"/>
        <item x="0"/>
        <item t="default"/>
      </items>
    </pivotField>
    <pivotField axis="axisCol" showAll="0">
      <items count="5">
        <item x="3"/>
        <item x="1"/>
        <item x="2"/>
        <item x="0"/>
        <item t="default"/>
      </items>
    </pivotField>
    <pivotField showAll="0"/>
    <pivotField showAll="0"/>
    <pivotField showAll="0"/>
    <pivotField showAll="0"/>
    <pivotField showAll="0"/>
    <pivotField dataField="1" showAll="0"/>
    <pivotField showAll="0"/>
    <pivotField showAll="0" defaultSubtotal="0"/>
  </pivotFields>
  <rowFields count="1">
    <field x="0"/>
  </rowFields>
  <rowItems count="6">
    <i>
      <x/>
    </i>
    <i>
      <x v="1"/>
    </i>
    <i>
      <x v="2"/>
    </i>
    <i>
      <x v="3"/>
    </i>
    <i>
      <x v="4"/>
    </i>
    <i t="grand">
      <x/>
    </i>
  </rowItems>
  <colFields count="1">
    <field x="1"/>
  </colFields>
  <colItems count="5">
    <i>
      <x/>
    </i>
    <i>
      <x v="1"/>
    </i>
    <i>
      <x v="2"/>
    </i>
    <i>
      <x v="3"/>
    </i>
    <i t="grand">
      <x/>
    </i>
  </colItems>
  <dataFields count="1">
    <dataField name="Sum of רווח גולמי בש&quot;ח" fld="7"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1">
          <reference field="1" count="0"/>
        </references>
      </pivotArea>
    </format>
    <format dxfId="10">
      <pivotArea dataOnly="0" labelOnly="1" grandCol="1" outline="0" fieldPosition="0"/>
    </format>
  </formats>
  <chartFormats count="8">
    <chartFormat chart="0" format="8" series="1">
      <pivotArea type="data" outline="0" fieldPosition="0">
        <references count="1">
          <reference field="1" count="1" selected="0">
            <x v="0"/>
          </reference>
        </references>
      </pivotArea>
    </chartFormat>
    <chartFormat chart="0" format="9" series="1">
      <pivotArea type="data" outline="0" fieldPosition="0">
        <references count="1">
          <reference field="1" count="1" selected="0">
            <x v="1"/>
          </reference>
        </references>
      </pivotArea>
    </chartFormat>
    <chartFormat chart="0" format="10" series="1">
      <pivotArea type="data" outline="0" fieldPosition="0">
        <references count="1">
          <reference field="1" count="1" selected="0">
            <x v="2"/>
          </reference>
        </references>
      </pivotArea>
    </chartFormat>
    <chartFormat chart="0" format="11" series="1">
      <pivotArea type="data" outline="0" fieldPosition="0">
        <references count="1">
          <reference field="1" count="1" selected="0">
            <x v="3"/>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2"/>
          </reference>
        </references>
      </pivotArea>
    </chartFormat>
    <chartFormat chart="0"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Сводная таблица1" cacheId="0"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chartFormat="2">
  <location ref="A3:H13" firstHeaderRow="1" firstDataRow="2" firstDataCol="1"/>
  <pivotFields count="10">
    <pivotField showAll="0"/>
    <pivotField showAll="0"/>
    <pivotField axis="axisRow" showAll="0">
      <items count="9">
        <item x="5"/>
        <item x="6"/>
        <item x="4"/>
        <item x="1"/>
        <item x="0"/>
        <item x="3"/>
        <item x="2"/>
        <item x="7"/>
        <item t="default"/>
      </items>
    </pivotField>
    <pivotField axis="axisCol" showAll="0">
      <items count="7">
        <item x="3"/>
        <item x="0"/>
        <item x="1"/>
        <item x="5"/>
        <item x="4"/>
        <item x="2"/>
        <item t="default"/>
      </items>
    </pivotField>
    <pivotField showAll="0"/>
    <pivotField showAll="0"/>
    <pivotField dataField="1" showAll="0"/>
    <pivotField showAll="0"/>
    <pivotField showAll="0"/>
    <pivotField showAll="0" defaultSubtotal="0"/>
  </pivotFields>
  <rowFields count="1">
    <field x="2"/>
  </rowFields>
  <rowItems count="9">
    <i>
      <x/>
    </i>
    <i>
      <x v="1"/>
    </i>
    <i>
      <x v="2"/>
    </i>
    <i>
      <x v="3"/>
    </i>
    <i>
      <x v="4"/>
    </i>
    <i>
      <x v="5"/>
    </i>
    <i>
      <x v="6"/>
    </i>
    <i>
      <x v="7"/>
    </i>
    <i t="grand">
      <x/>
    </i>
  </rowItems>
  <colFields count="1">
    <field x="3"/>
  </colFields>
  <colItems count="7">
    <i>
      <x/>
    </i>
    <i>
      <x v="1"/>
    </i>
    <i>
      <x v="2"/>
    </i>
    <i>
      <x v="3"/>
    </i>
    <i>
      <x v="4"/>
    </i>
    <i>
      <x v="5"/>
    </i>
    <i t="grand">
      <x/>
    </i>
  </colItems>
  <dataFields count="1">
    <dataField name="Sum of היקף מכירות בש&quot;ח" fld="6"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3" count="0"/>
        </references>
      </pivotArea>
    </format>
    <format dxfId="0">
      <pivotArea dataOnly="0" labelOnly="1" grandCol="1" outline="0" fieldPosition="0"/>
    </format>
  </formats>
  <chartFormats count="12">
    <chartFormat chart="1" format="6" series="1">
      <pivotArea type="data" outline="0" fieldPosition="0">
        <references count="1">
          <reference field="3" count="1" selected="0">
            <x v="0"/>
          </reference>
        </references>
      </pivotArea>
    </chartFormat>
    <chartFormat chart="1" format="7" series="1">
      <pivotArea type="data" outline="0" fieldPosition="0">
        <references count="1">
          <reference field="3" count="1" selected="0">
            <x v="1"/>
          </reference>
        </references>
      </pivotArea>
    </chartFormat>
    <chartFormat chart="1" format="8" series="1">
      <pivotArea type="data" outline="0" fieldPosition="0">
        <references count="1">
          <reference field="3" count="1" selected="0">
            <x v="2"/>
          </reference>
        </references>
      </pivotArea>
    </chartFormat>
    <chartFormat chart="1" format="9" series="1">
      <pivotArea type="data" outline="0" fieldPosition="0">
        <references count="1">
          <reference field="3" count="1" selected="0">
            <x v="3"/>
          </reference>
        </references>
      </pivotArea>
    </chartFormat>
    <chartFormat chart="1" format="10" series="1">
      <pivotArea type="data" outline="0" fieldPosition="0">
        <references count="1">
          <reference field="3" count="1" selected="0">
            <x v="4"/>
          </reference>
        </references>
      </pivotArea>
    </chartFormat>
    <chartFormat chart="1" format="11" series="1">
      <pivotArea type="data" outline="0" fieldPosition="0">
        <references count="1">
          <reference field="3" count="1" selected="0">
            <x v="5"/>
          </reference>
        </references>
      </pivotArea>
    </chartFormat>
    <chartFormat chart="1" format="12" series="1">
      <pivotArea type="data" outline="0" fieldPosition="0">
        <references count="2">
          <reference field="4294967294" count="1" selected="0">
            <x v="0"/>
          </reference>
          <reference field="3" count="1" selected="0">
            <x v="0"/>
          </reference>
        </references>
      </pivotArea>
    </chartFormat>
    <chartFormat chart="1" format="13" series="1">
      <pivotArea type="data" outline="0" fieldPosition="0">
        <references count="2">
          <reference field="4294967294" count="1" selected="0">
            <x v="0"/>
          </reference>
          <reference field="3" count="1" selected="0">
            <x v="1"/>
          </reference>
        </references>
      </pivotArea>
    </chartFormat>
    <chartFormat chart="1" format="14" series="1">
      <pivotArea type="data" outline="0" fieldPosition="0">
        <references count="2">
          <reference field="4294967294" count="1" selected="0">
            <x v="0"/>
          </reference>
          <reference field="3" count="1" selected="0">
            <x v="2"/>
          </reference>
        </references>
      </pivotArea>
    </chartFormat>
    <chartFormat chart="1" format="15" series="1">
      <pivotArea type="data" outline="0" fieldPosition="0">
        <references count="2">
          <reference field="4294967294" count="1" selected="0">
            <x v="0"/>
          </reference>
          <reference field="3" count="1" selected="0">
            <x v="3"/>
          </reference>
        </references>
      </pivotArea>
    </chartFormat>
    <chartFormat chart="1" format="16" series="1">
      <pivotArea type="data" outline="0" fieldPosition="0">
        <references count="2">
          <reference field="4294967294" count="1" selected="0">
            <x v="0"/>
          </reference>
          <reference field="3" count="1" selected="0">
            <x v="4"/>
          </reference>
        </references>
      </pivotArea>
    </chartFormat>
    <chartFormat chart="1"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rightToLeft="1" workbookViewId="0">
      <selection activeCell="H20" sqref="H20"/>
    </sheetView>
  </sheetViews>
  <sheetFormatPr defaultRowHeight="14.4" x14ac:dyDescent="0.3"/>
  <cols>
    <col min="1" max="1" width="13.5546875" bestFit="1" customWidth="1"/>
    <col min="2" max="2" width="13.77734375" bestFit="1" customWidth="1"/>
    <col min="4" max="4" width="11.44140625" bestFit="1" customWidth="1"/>
    <col min="5" max="5" width="10.44140625" bestFit="1" customWidth="1"/>
    <col min="7" max="7" width="11.88671875" bestFit="1" customWidth="1"/>
    <col min="8" max="8" width="10.6640625" bestFit="1" customWidth="1"/>
    <col min="9" max="9" width="11" bestFit="1" customWidth="1"/>
    <col min="10" max="11" width="10.6640625" bestFit="1" customWidth="1"/>
  </cols>
  <sheetData>
    <row r="1" spans="1:11" ht="15.6" x14ac:dyDescent="0.3">
      <c r="A1" s="11" t="s">
        <v>50</v>
      </c>
      <c r="B1" s="12">
        <v>100000</v>
      </c>
      <c r="I1" s="19" t="s">
        <v>54</v>
      </c>
    </row>
    <row r="2" spans="1:11" ht="15.6" x14ac:dyDescent="0.3">
      <c r="A2" s="11" t="s">
        <v>52</v>
      </c>
      <c r="B2" s="39">
        <v>1.2134478396362083</v>
      </c>
      <c r="D2" s="21" t="s">
        <v>52</v>
      </c>
      <c r="E2" s="20" t="s">
        <v>51</v>
      </c>
      <c r="H2" s="23">
        <f>B6</f>
        <v>6999.9994601620047</v>
      </c>
      <c r="I2" s="24">
        <f>(1+E3)^(1/12)-1</f>
        <v>3.2737397821989145E-3</v>
      </c>
      <c r="J2" s="24">
        <f>(1+E4)^(1/12)-1</f>
        <v>4.0741237836483535E-3</v>
      </c>
      <c r="K2" s="24">
        <f>(1+E5)^(1/12)-1</f>
        <v>4.8675505653430484E-3</v>
      </c>
    </row>
    <row r="3" spans="1:11" ht="15.6" x14ac:dyDescent="0.3">
      <c r="A3" s="11" t="s">
        <v>51</v>
      </c>
      <c r="B3" s="13">
        <v>0.03</v>
      </c>
      <c r="D3" s="1">
        <v>6</v>
      </c>
      <c r="E3" s="22">
        <v>0.04</v>
      </c>
      <c r="H3" s="21">
        <f>D3*12</f>
        <v>72</v>
      </c>
      <c r="I3" s="16">
        <f t="dataTable" ref="I3:K7" dt2D="1" dtr="1" r1="B5" r2="B4"/>
        <v>1561.2620729205787</v>
      </c>
      <c r="J3" s="16">
        <v>1605.347105243781</v>
      </c>
      <c r="K3" s="16">
        <v>1649.7964620043738</v>
      </c>
    </row>
    <row r="4" spans="1:11" ht="15.6" x14ac:dyDescent="0.3">
      <c r="A4" s="17" t="s">
        <v>53</v>
      </c>
      <c r="B4" s="37">
        <f>B2*12</f>
        <v>14.5613740756345</v>
      </c>
      <c r="D4" s="1">
        <v>7</v>
      </c>
      <c r="E4" s="22">
        <v>0.05</v>
      </c>
      <c r="G4" s="18" t="s">
        <v>53</v>
      </c>
      <c r="H4" s="21">
        <f>D4*12</f>
        <v>84</v>
      </c>
      <c r="I4" s="16">
        <v>1363.5912875761123</v>
      </c>
      <c r="J4" s="16">
        <v>1408.1786652346541</v>
      </c>
      <c r="K4" s="16">
        <v>1453.2479307097904</v>
      </c>
    </row>
    <row r="5" spans="1:11" ht="15.6" x14ac:dyDescent="0.3">
      <c r="A5" s="17" t="s">
        <v>54</v>
      </c>
      <c r="B5" s="14">
        <f>(1+B3)^(1/12)-1</f>
        <v>2.4662697723036864E-3</v>
      </c>
      <c r="D5" s="1">
        <v>8</v>
      </c>
      <c r="E5" s="22">
        <v>0.06</v>
      </c>
      <c r="H5" s="21">
        <f>D5*12</f>
        <v>96</v>
      </c>
      <c r="I5" s="16">
        <v>1215.6036813376916</v>
      </c>
      <c r="J5" s="16">
        <v>1260.7116414994744</v>
      </c>
      <c r="K5" s="16">
        <v>1306.4176561290838</v>
      </c>
    </row>
    <row r="6" spans="1:11" ht="15.6" x14ac:dyDescent="0.3">
      <c r="A6" s="17" t="s">
        <v>55</v>
      </c>
      <c r="B6" s="16">
        <f>-PMT(B5,B4,B1)</f>
        <v>6999.9994601620047</v>
      </c>
      <c r="D6" s="1">
        <v>9</v>
      </c>
      <c r="E6" s="1"/>
      <c r="H6" s="21">
        <f>D6*12</f>
        <v>108</v>
      </c>
      <c r="I6" s="16">
        <v>1100.7376515537335</v>
      </c>
      <c r="J6" s="16">
        <v>1146.3776019054806</v>
      </c>
      <c r="K6" s="16">
        <v>1192.7302718452668</v>
      </c>
    </row>
    <row r="7" spans="1:11" x14ac:dyDescent="0.3">
      <c r="D7" s="1">
        <v>10</v>
      </c>
      <c r="E7" s="1"/>
      <c r="H7" s="21">
        <f>D7*12</f>
        <v>120</v>
      </c>
      <c r="I7" s="16">
        <v>1009.0561730960864</v>
      </c>
      <c r="J7" s="16">
        <v>1055.2353379160661</v>
      </c>
      <c r="K7" s="16">
        <v>1102.2402614127234</v>
      </c>
    </row>
    <row r="9" spans="1:11" x14ac:dyDescent="0.3">
      <c r="B9" s="25"/>
    </row>
    <row r="10" spans="1:11" x14ac:dyDescent="0.3">
      <c r="B10" s="38"/>
      <c r="I10" s="15"/>
    </row>
  </sheetData>
  <scenarios current="0" show="0" sqref="B6">
    <scenario name="תרחיש1" locked="1" count="3" user="Huawei" comment="Автор: Huawei , 23.04.2025_x000a_Автор изменений: Huawei , 23.04.2025">
      <inputCells r="B1" val="250000" numFmtId="165"/>
      <inputCells r="B2" val="7"/>
      <inputCells r="B3" val="0,07" numFmtId="9"/>
    </scenario>
    <scenario name="תרחיש2" locked="1" count="3" user="Huawei" comment="Автор: Huawei , 23.04.2025">
      <inputCells r="B1" val="340000" numFmtId="165"/>
      <inputCells r="B2" val="9"/>
      <inputCells r="B3" val="0,08" numFmtId="9"/>
    </scenario>
    <scenario name="תרחיש3" locked="1" count="3" user="Huawei" comment="Автор: Huawei , 23.04.2025">
      <inputCells r="B1" val="400000" numFmtId="165"/>
      <inputCells r="B2" val="11"/>
      <inputCells r="B3" val="0,1" numFmtId="9"/>
    </scenario>
  </scenario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9C8A7-2AA5-4E8E-A165-9816EBA6FFD0}">
  <sheetPr>
    <outlinePr summaryBelow="0"/>
  </sheetPr>
  <dimension ref="B1:G13"/>
  <sheetViews>
    <sheetView showGridLines="0" rightToLeft="1" workbookViewId="0"/>
  </sheetViews>
  <sheetFormatPr defaultRowHeight="14.4" outlineLevelRow="1" outlineLevelCol="1" x14ac:dyDescent="0.3"/>
  <cols>
    <col min="3" max="3" width="12.109375" bestFit="1" customWidth="1"/>
    <col min="4" max="7" width="13.109375" bestFit="1" customWidth="1" outlineLevel="1"/>
  </cols>
  <sheetData>
    <row r="1" spans="2:7" ht="15" thickBot="1" x14ac:dyDescent="0.35"/>
    <row r="2" spans="2:7" ht="15.6" x14ac:dyDescent="0.3">
      <c r="B2" s="41" t="s">
        <v>73</v>
      </c>
      <c r="C2" s="41"/>
      <c r="D2" s="31"/>
      <c r="E2" s="31"/>
      <c r="F2" s="31"/>
      <c r="G2" s="31"/>
    </row>
    <row r="3" spans="2:7" ht="15.6" collapsed="1" x14ac:dyDescent="0.3">
      <c r="B3" s="40"/>
      <c r="C3" s="40"/>
      <c r="D3" s="32" t="s">
        <v>75</v>
      </c>
      <c r="E3" s="32" t="s">
        <v>56</v>
      </c>
      <c r="F3" s="32" t="s">
        <v>58</v>
      </c>
      <c r="G3" s="32" t="s">
        <v>59</v>
      </c>
    </row>
    <row r="4" spans="2:7" ht="51" hidden="1" outlineLevel="1" x14ac:dyDescent="0.3">
      <c r="B4" s="42"/>
      <c r="C4" s="42"/>
      <c r="D4" s="26"/>
      <c r="E4" s="36" t="s">
        <v>62</v>
      </c>
      <c r="F4" s="36" t="s">
        <v>57</v>
      </c>
      <c r="G4" s="36" t="s">
        <v>57</v>
      </c>
    </row>
    <row r="5" spans="2:7" x14ac:dyDescent="0.3">
      <c r="B5" s="43" t="s">
        <v>74</v>
      </c>
      <c r="C5" s="43"/>
      <c r="D5" s="30"/>
      <c r="E5" s="30"/>
      <c r="F5" s="30"/>
      <c r="G5" s="30"/>
    </row>
    <row r="6" spans="2:7" outlineLevel="1" x14ac:dyDescent="0.3">
      <c r="B6" s="42"/>
      <c r="C6" s="42" t="s">
        <v>50</v>
      </c>
      <c r="D6" s="27">
        <v>100000</v>
      </c>
      <c r="E6" s="33">
        <v>250000</v>
      </c>
      <c r="F6" s="33">
        <v>340000</v>
      </c>
      <c r="G6" s="33">
        <v>400000</v>
      </c>
    </row>
    <row r="7" spans="2:7" outlineLevel="1" x14ac:dyDescent="0.3">
      <c r="B7" s="42"/>
      <c r="C7" s="42" t="s">
        <v>60</v>
      </c>
      <c r="D7" s="26">
        <v>5</v>
      </c>
      <c r="E7" s="34">
        <v>7</v>
      </c>
      <c r="F7" s="34">
        <v>9</v>
      </c>
      <c r="G7" s="34">
        <v>11</v>
      </c>
    </row>
    <row r="8" spans="2:7" outlineLevel="1" x14ac:dyDescent="0.3">
      <c r="B8" s="42"/>
      <c r="C8" s="42" t="s">
        <v>61</v>
      </c>
      <c r="D8" s="28">
        <v>0.03</v>
      </c>
      <c r="E8" s="35">
        <v>7.0000000000000007E-2</v>
      </c>
      <c r="F8" s="35">
        <v>0.08</v>
      </c>
      <c r="G8" s="35">
        <v>0.1</v>
      </c>
    </row>
    <row r="9" spans="2:7" x14ac:dyDescent="0.3">
      <c r="B9" s="43" t="s">
        <v>76</v>
      </c>
      <c r="C9" s="43"/>
      <c r="D9" s="30"/>
      <c r="E9" s="30"/>
      <c r="F9" s="30"/>
      <c r="G9" s="30"/>
    </row>
    <row r="10" spans="2:7" ht="15" outlineLevel="1" thickBot="1" x14ac:dyDescent="0.35">
      <c r="B10" s="44"/>
      <c r="C10" s="44" t="s">
        <v>63</v>
      </c>
      <c r="D10" s="29">
        <v>1795.0709302984999</v>
      </c>
      <c r="E10" s="29">
        <v>3746.9460031989902</v>
      </c>
      <c r="F10" s="29">
        <v>4377.3200924561397</v>
      </c>
      <c r="G10" s="29">
        <v>4910.8948615181198</v>
      </c>
    </row>
    <row r="11" spans="2:7" x14ac:dyDescent="0.3">
      <c r="B11" t="s">
        <v>77</v>
      </c>
    </row>
    <row r="12" spans="2:7" x14ac:dyDescent="0.3">
      <c r="B12" t="s">
        <v>78</v>
      </c>
    </row>
    <row r="13" spans="2:7" x14ac:dyDescent="0.3">
      <c r="B13" t="s">
        <v>79</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7E36-A478-451F-9360-E051A45C413E}">
  <dimension ref="A1:K10"/>
  <sheetViews>
    <sheetView rightToLeft="1" workbookViewId="0">
      <selection activeCell="J16" sqref="J16"/>
    </sheetView>
  </sheetViews>
  <sheetFormatPr defaultRowHeight="14.4" x14ac:dyDescent="0.3"/>
  <cols>
    <col min="1" max="1" width="13.5546875" bestFit="1" customWidth="1"/>
    <col min="2" max="2" width="13.77734375" bestFit="1" customWidth="1"/>
    <col min="4" max="4" width="11.44140625" bestFit="1" customWidth="1"/>
    <col min="5" max="5" width="10.44140625" bestFit="1" customWidth="1"/>
    <col min="7" max="7" width="11.88671875" bestFit="1" customWidth="1"/>
    <col min="8" max="8" width="10.6640625" bestFit="1" customWidth="1"/>
    <col min="9" max="9" width="11" bestFit="1" customWidth="1"/>
    <col min="10" max="11" width="10.6640625" bestFit="1" customWidth="1"/>
  </cols>
  <sheetData>
    <row r="1" spans="1:11" ht="15.6" x14ac:dyDescent="0.3">
      <c r="A1" s="11" t="s">
        <v>50</v>
      </c>
      <c r="B1" s="12">
        <v>100000</v>
      </c>
      <c r="I1" s="19" t="s">
        <v>54</v>
      </c>
    </row>
    <row r="2" spans="1:11" ht="15.6" x14ac:dyDescent="0.3">
      <c r="A2" s="11" t="s">
        <v>52</v>
      </c>
      <c r="B2" s="10">
        <v>5</v>
      </c>
      <c r="D2" s="21" t="s">
        <v>52</v>
      </c>
      <c r="E2" s="20" t="s">
        <v>51</v>
      </c>
      <c r="H2" s="23">
        <f>B6</f>
        <v>1795.0709302985006</v>
      </c>
      <c r="I2" s="24">
        <f>(1+E3)^(1/12)-1</f>
        <v>3.2737397821989145E-3</v>
      </c>
      <c r="J2" s="24">
        <f>(1+E4)^(1/12)-1</f>
        <v>4.0741237836483535E-3</v>
      </c>
      <c r="K2" s="24">
        <f>(1+E5)^(1/12)-1</f>
        <v>4.8675505653430484E-3</v>
      </c>
    </row>
    <row r="3" spans="1:11" ht="15.6" x14ac:dyDescent="0.3">
      <c r="A3" s="11" t="s">
        <v>51</v>
      </c>
      <c r="B3" s="13">
        <v>0.03</v>
      </c>
      <c r="D3" s="1">
        <v>6</v>
      </c>
      <c r="E3" s="22">
        <v>0.04</v>
      </c>
      <c r="H3" s="21">
        <f>D3*12</f>
        <v>72</v>
      </c>
      <c r="I3" s="16">
        <f t="dataTable" ref="I3:K7" dt2D="1" dtr="1" r1="B5" r2="B4"/>
        <v>1561.2620729205787</v>
      </c>
      <c r="J3" s="16">
        <v>1605.347105243781</v>
      </c>
      <c r="K3" s="16">
        <v>1649.7964620043738</v>
      </c>
    </row>
    <row r="4" spans="1:11" ht="15.6" x14ac:dyDescent="0.3">
      <c r="A4" s="17" t="s">
        <v>53</v>
      </c>
      <c r="B4" s="1">
        <f>B2*12</f>
        <v>60</v>
      </c>
      <c r="D4" s="1">
        <v>7</v>
      </c>
      <c r="E4" s="22">
        <v>0.05</v>
      </c>
      <c r="G4" s="18" t="s">
        <v>53</v>
      </c>
      <c r="H4" s="21">
        <f>D4*12</f>
        <v>84</v>
      </c>
      <c r="I4" s="16">
        <v>1363.5912875761123</v>
      </c>
      <c r="J4" s="16">
        <v>1408.1786652346541</v>
      </c>
      <c r="K4" s="16">
        <v>1453.2479307097904</v>
      </c>
    </row>
    <row r="5" spans="1:11" ht="15.6" x14ac:dyDescent="0.3">
      <c r="A5" s="17" t="s">
        <v>54</v>
      </c>
      <c r="B5" s="14">
        <f>(1+B3)^(1/12)-1</f>
        <v>2.4662697723036864E-3</v>
      </c>
      <c r="D5" s="1">
        <v>8</v>
      </c>
      <c r="E5" s="22">
        <v>0.06</v>
      </c>
      <c r="H5" s="21">
        <f>D5*12</f>
        <v>96</v>
      </c>
      <c r="I5" s="16">
        <v>1215.6036813376916</v>
      </c>
      <c r="J5" s="16">
        <v>1260.7116414994744</v>
      </c>
      <c r="K5" s="16">
        <v>1306.4176561290838</v>
      </c>
    </row>
    <row r="6" spans="1:11" ht="15.6" x14ac:dyDescent="0.3">
      <c r="A6" s="17" t="s">
        <v>55</v>
      </c>
      <c r="B6" s="16">
        <f>-PMT(B5,B4,B1)</f>
        <v>1795.0709302985006</v>
      </c>
      <c r="D6" s="1">
        <v>9</v>
      </c>
      <c r="E6" s="1"/>
      <c r="H6" s="21">
        <f>D6*12</f>
        <v>108</v>
      </c>
      <c r="I6" s="16">
        <v>1100.7376515537335</v>
      </c>
      <c r="J6" s="16">
        <v>1146.3776019054806</v>
      </c>
      <c r="K6" s="16">
        <v>1192.7302718452668</v>
      </c>
    </row>
    <row r="7" spans="1:11" x14ac:dyDescent="0.3">
      <c r="D7" s="1">
        <v>10</v>
      </c>
      <c r="E7" s="1"/>
      <c r="H7" s="21">
        <f>D7*12</f>
        <v>120</v>
      </c>
      <c r="I7" s="16">
        <v>1009.0561730960864</v>
      </c>
      <c r="J7" s="16">
        <v>1055.2353379160661</v>
      </c>
      <c r="K7" s="16">
        <v>1102.2402614127234</v>
      </c>
    </row>
    <row r="9" spans="1:11" x14ac:dyDescent="0.3">
      <c r="B9" s="25"/>
    </row>
    <row r="10" spans="1:11" x14ac:dyDescent="0.3">
      <c r="B10" s="38"/>
      <c r="I10" s="15"/>
    </row>
  </sheetData>
  <scenarios current="0" show="0" sqref="B6">
    <scenario name="תרחיש1" locked="1" count="3" user="Huawei" comment="Автор: Huawei , 23.04.2025_x000a_Автор изменений: Huawei , 23.04.2025">
      <inputCells r="B1" val="250000" numFmtId="165"/>
      <inputCells r="B2" val="7"/>
      <inputCells r="B3" val="0,07" numFmtId="9"/>
    </scenario>
    <scenario name="תרחיש2" locked="1" count="3" user="Huawei" comment="Автор: Huawei , 23.04.2025">
      <inputCells r="B1" val="340000" numFmtId="165"/>
      <inputCells r="B2" val="9"/>
      <inputCells r="B3" val="0,08" numFmtId="9"/>
    </scenario>
    <scenario name="תרחיש3" locked="1" count="3" user="Huawei" comment="Автор: Huawei , 23.04.2025">
      <inputCells r="B1" val="400000" numFmtId="165"/>
      <inputCells r="B2" val="11"/>
      <inputCells r="B3" val="0,1" numFmtId="9"/>
    </scenario>
  </scenario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rightToLeft="1" workbookViewId="0">
      <selection activeCell="B7" sqref="B7"/>
    </sheetView>
  </sheetViews>
  <sheetFormatPr defaultRowHeight="14.4" x14ac:dyDescent="0.3"/>
  <cols>
    <col min="1" max="1" width="13.5546875" bestFit="1" customWidth="1"/>
    <col min="2" max="2" width="13.77734375" bestFit="1" customWidth="1"/>
    <col min="4" max="4" width="11.44140625" bestFit="1" customWidth="1"/>
    <col min="5" max="5" width="10.44140625" bestFit="1" customWidth="1"/>
    <col min="7" max="7" width="11.88671875" bestFit="1" customWidth="1"/>
    <col min="8" max="8" width="10.6640625" bestFit="1" customWidth="1"/>
    <col min="9" max="9" width="11" bestFit="1" customWidth="1"/>
    <col min="10" max="11" width="10.6640625" bestFit="1" customWidth="1"/>
  </cols>
  <sheetData>
    <row r="1" spans="1:9" ht="15.6" x14ac:dyDescent="0.3">
      <c r="A1" s="11" t="s">
        <v>50</v>
      </c>
      <c r="B1" s="12">
        <v>100000</v>
      </c>
    </row>
    <row r="2" spans="1:9" ht="15.6" x14ac:dyDescent="0.3">
      <c r="A2" s="11" t="s">
        <v>52</v>
      </c>
      <c r="B2" s="10">
        <v>5</v>
      </c>
    </row>
    <row r="3" spans="1:9" ht="15.6" x14ac:dyDescent="0.3">
      <c r="A3" s="11" t="s">
        <v>51</v>
      </c>
      <c r="B3" s="13">
        <v>0.03</v>
      </c>
    </row>
    <row r="4" spans="1:9" ht="15.6" x14ac:dyDescent="0.3">
      <c r="A4" s="17" t="s">
        <v>53</v>
      </c>
      <c r="B4" s="1">
        <f>B2*12</f>
        <v>60</v>
      </c>
    </row>
    <row r="5" spans="1:9" ht="15.6" x14ac:dyDescent="0.3">
      <c r="A5" s="17" t="s">
        <v>54</v>
      </c>
      <c r="B5" s="14">
        <f>(1+B3)^(1/12)-1</f>
        <v>2.4662697723036864E-3</v>
      </c>
    </row>
    <row r="6" spans="1:9" ht="15.6" x14ac:dyDescent="0.3">
      <c r="A6" s="17" t="s">
        <v>55</v>
      </c>
      <c r="B6" s="16">
        <f>-PMT(B5,B4,B1)</f>
        <v>1795.0709302985006</v>
      </c>
    </row>
    <row r="9" spans="1:9" x14ac:dyDescent="0.3">
      <c r="B9" s="25"/>
    </row>
    <row r="10" spans="1:9" x14ac:dyDescent="0.3">
      <c r="B10" s="38"/>
      <c r="I10" s="15"/>
    </row>
  </sheetData>
  <scenarios current="0" show="0" sqref="B6">
    <scenario name="תרחיש1" locked="1" count="3" user="Huawei" comment="Автор: Huawei , 23.04.2025_x000a_Автор изменений: Huawei , 23.04.2025">
      <inputCells r="B1" val="250000" numFmtId="165"/>
      <inputCells r="B2" val="7"/>
      <inputCells r="B3" val="0,07" numFmtId="9"/>
    </scenario>
    <scenario name="תרחיש2" locked="1" count="3" user="Huawei" comment="Автор: Huawei , 23.04.2025">
      <inputCells r="B1" val="340000" numFmtId="165"/>
      <inputCells r="B2" val="9"/>
      <inputCells r="B3" val="0,08" numFmtId="9"/>
    </scenario>
    <scenario name="תרחיש3" locked="1" count="3" user="Huawei" comment="Автор: Huawei , 23.04.2025">
      <inputCells r="B1" val="400000" numFmtId="165"/>
      <inputCells r="B2" val="11"/>
      <inputCells r="B3" val="0,1" numFmtId="9"/>
    </scenario>
  </scenario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G14"/>
  <sheetViews>
    <sheetView rightToLeft="1" workbookViewId="0">
      <selection activeCell="B2" sqref="B2"/>
    </sheetView>
  </sheetViews>
  <sheetFormatPr defaultRowHeight="14.4" x14ac:dyDescent="0.3"/>
  <cols>
    <col min="1" max="1" width="21.33203125" bestFit="1" customWidth="1"/>
    <col min="2" max="2" width="15.5546875" bestFit="1" customWidth="1"/>
    <col min="3" max="3" width="5" bestFit="1" customWidth="1"/>
    <col min="4" max="4" width="4.109375" bestFit="1" customWidth="1"/>
    <col min="6" max="6" width="5" bestFit="1" customWidth="1"/>
    <col min="7" max="7" width="10.77734375" bestFit="1" customWidth="1"/>
  </cols>
  <sheetData>
    <row r="3" spans="1:7" x14ac:dyDescent="0.3">
      <c r="A3" s="4" t="s">
        <v>72</v>
      </c>
      <c r="B3" s="4" t="s">
        <v>64</v>
      </c>
      <c r="C3" s="1"/>
      <c r="D3" s="1"/>
      <c r="E3" s="1"/>
      <c r="F3" s="1"/>
      <c r="G3" s="1"/>
    </row>
    <row r="4" spans="1:7" x14ac:dyDescent="0.3">
      <c r="A4" s="4" t="s">
        <v>65</v>
      </c>
      <c r="B4" s="1" t="s">
        <v>9</v>
      </c>
      <c r="C4" s="1" t="s">
        <v>10</v>
      </c>
      <c r="D4" s="1" t="s">
        <v>11</v>
      </c>
      <c r="E4" s="1" t="s">
        <v>12</v>
      </c>
      <c r="F4" s="1" t="s">
        <v>8</v>
      </c>
      <c r="G4" s="1" t="s">
        <v>66</v>
      </c>
    </row>
    <row r="5" spans="1:7" x14ac:dyDescent="0.3">
      <c r="A5" s="5" t="s">
        <v>44</v>
      </c>
      <c r="B5" s="6"/>
      <c r="C5" s="6"/>
      <c r="D5" s="6">
        <v>492</v>
      </c>
      <c r="E5" s="6"/>
      <c r="F5" s="6">
        <v>772</v>
      </c>
      <c r="G5" s="6">
        <v>492</v>
      </c>
    </row>
    <row r="6" spans="1:7" x14ac:dyDescent="0.3">
      <c r="A6" s="5" t="s">
        <v>43</v>
      </c>
      <c r="B6" s="6"/>
      <c r="C6" s="6">
        <v>302</v>
      </c>
      <c r="D6" s="6"/>
      <c r="E6" s="6"/>
      <c r="F6" s="6">
        <v>747</v>
      </c>
      <c r="G6" s="6">
        <v>302</v>
      </c>
    </row>
    <row r="7" spans="1:7" x14ac:dyDescent="0.3">
      <c r="A7" s="5" t="s">
        <v>45</v>
      </c>
      <c r="B7" s="6">
        <v>306</v>
      </c>
      <c r="C7" s="6">
        <v>505</v>
      </c>
      <c r="D7" s="6">
        <v>324</v>
      </c>
      <c r="E7" s="6"/>
      <c r="F7" s="6"/>
      <c r="G7" s="6">
        <v>306</v>
      </c>
    </row>
    <row r="8" spans="1:7" x14ac:dyDescent="0.3">
      <c r="A8" s="5" t="s">
        <v>46</v>
      </c>
      <c r="B8" s="6">
        <v>431</v>
      </c>
      <c r="C8" s="6"/>
      <c r="D8" s="6"/>
      <c r="E8" s="6">
        <v>521</v>
      </c>
      <c r="F8" s="6"/>
      <c r="G8" s="6">
        <v>431</v>
      </c>
    </row>
    <row r="9" spans="1:7" x14ac:dyDescent="0.3">
      <c r="A9" s="5" t="s">
        <v>47</v>
      </c>
      <c r="B9" s="6"/>
      <c r="C9" s="6"/>
      <c r="D9" s="6"/>
      <c r="E9" s="6">
        <v>314</v>
      </c>
      <c r="F9" s="6"/>
      <c r="G9" s="6">
        <v>314</v>
      </c>
    </row>
    <row r="10" spans="1:7" x14ac:dyDescent="0.3">
      <c r="A10" s="5" t="s">
        <v>66</v>
      </c>
      <c r="B10" s="6">
        <v>306</v>
      </c>
      <c r="C10" s="6">
        <v>302</v>
      </c>
      <c r="D10" s="6">
        <v>324</v>
      </c>
      <c r="E10" s="6">
        <v>314</v>
      </c>
      <c r="F10" s="6">
        <v>747</v>
      </c>
      <c r="G10" s="6">
        <v>302</v>
      </c>
    </row>
    <row r="13" spans="1:7" ht="156" x14ac:dyDescent="0.3">
      <c r="A13" s="3" t="s">
        <v>48</v>
      </c>
    </row>
    <row r="14" spans="1:7" ht="124.8" x14ac:dyDescent="0.3">
      <c r="A14" s="3" t="s">
        <v>49</v>
      </c>
    </row>
  </sheetData>
  <pageMargins left="0.7" right="0.7" top="0.75" bottom="0.75" header="0.3" footer="0.3"/>
  <pageSetup paperSize="9" orientation="portrait" horizontalDpi="1200"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12"/>
  <sheetViews>
    <sheetView rightToLeft="1" workbookViewId="0">
      <selection activeCell="B10" sqref="B10"/>
    </sheetView>
  </sheetViews>
  <sheetFormatPr defaultRowHeight="14.4" x14ac:dyDescent="0.3"/>
  <cols>
    <col min="1" max="1" width="12.5546875" bestFit="1" customWidth="1"/>
    <col min="2" max="2" width="12.33203125" bestFit="1" customWidth="1"/>
    <col min="3" max="3" width="22.21875" bestFit="1" customWidth="1"/>
    <col min="4" max="4" width="4.109375" customWidth="1"/>
    <col min="5" max="5" width="8.88671875" customWidth="1"/>
    <col min="6" max="6" width="5" customWidth="1"/>
    <col min="7" max="7" width="11.33203125" customWidth="1"/>
    <col min="8" max="8" width="30.5546875" customWidth="1"/>
    <col min="9" max="9" width="28" bestFit="1" customWidth="1"/>
    <col min="10" max="10" width="35" bestFit="1" customWidth="1"/>
    <col min="11" max="11" width="32.44140625" bestFit="1" customWidth="1"/>
  </cols>
  <sheetData>
    <row r="3" spans="1:3" x14ac:dyDescent="0.3">
      <c r="A3" s="4" t="s">
        <v>65</v>
      </c>
      <c r="B3" s="1" t="s">
        <v>71</v>
      </c>
      <c r="C3" s="1" t="s">
        <v>68</v>
      </c>
    </row>
    <row r="4" spans="1:3" x14ac:dyDescent="0.3">
      <c r="A4" s="5" t="s">
        <v>15</v>
      </c>
      <c r="B4" s="6">
        <v>22</v>
      </c>
      <c r="C4" s="6">
        <v>415504</v>
      </c>
    </row>
    <row r="5" spans="1:3" x14ac:dyDescent="0.3">
      <c r="A5" s="5" t="s">
        <v>13</v>
      </c>
      <c r="B5" s="6">
        <v>31</v>
      </c>
      <c r="C5" s="6">
        <v>565275</v>
      </c>
    </row>
    <row r="6" spans="1:3" x14ac:dyDescent="0.3">
      <c r="A6" s="5" t="s">
        <v>14</v>
      </c>
      <c r="B6" s="6">
        <v>22</v>
      </c>
      <c r="C6" s="6">
        <v>380960</v>
      </c>
    </row>
    <row r="7" spans="1:3" x14ac:dyDescent="0.3">
      <c r="A7" s="5" t="s">
        <v>16</v>
      </c>
      <c r="B7" s="6">
        <v>25</v>
      </c>
      <c r="C7" s="6">
        <v>532288</v>
      </c>
    </row>
    <row r="8" spans="1:3" x14ac:dyDescent="0.3">
      <c r="A8" s="5" t="s">
        <v>66</v>
      </c>
      <c r="B8" s="6">
        <v>100</v>
      </c>
      <c r="C8" s="6">
        <v>1894027</v>
      </c>
    </row>
    <row r="11" spans="1:3" ht="409.6" x14ac:dyDescent="0.3">
      <c r="A11" s="2" t="s">
        <v>40</v>
      </c>
    </row>
    <row r="12" spans="1:3" ht="390" x14ac:dyDescent="0.3">
      <c r="A12" s="3" t="s">
        <v>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G15"/>
  <sheetViews>
    <sheetView rightToLeft="1" workbookViewId="0">
      <selection activeCell="E15" sqref="E15"/>
    </sheetView>
  </sheetViews>
  <sheetFormatPr defaultRowHeight="14.4" x14ac:dyDescent="0.3"/>
  <cols>
    <col min="1" max="1" width="18.33203125" bestFit="1" customWidth="1"/>
    <col min="2" max="2" width="15.5546875" bestFit="1" customWidth="1"/>
    <col min="3" max="3" width="5" customWidth="1"/>
    <col min="4" max="4" width="4.109375" customWidth="1"/>
    <col min="5" max="5" width="8.88671875" customWidth="1"/>
    <col min="6" max="6" width="5" customWidth="1"/>
    <col min="7" max="7" width="10.77734375" bestFit="1" customWidth="1"/>
  </cols>
  <sheetData>
    <row r="3" spans="1:7" x14ac:dyDescent="0.3">
      <c r="A3" s="4" t="s">
        <v>70</v>
      </c>
      <c r="B3" s="4" t="s">
        <v>64</v>
      </c>
      <c r="C3" s="1"/>
      <c r="D3" s="1"/>
      <c r="E3" s="1"/>
      <c r="F3" s="1"/>
      <c r="G3" s="1"/>
    </row>
    <row r="4" spans="1:7" x14ac:dyDescent="0.3">
      <c r="A4" s="4" t="s">
        <v>65</v>
      </c>
      <c r="B4" s="1" t="s">
        <v>9</v>
      </c>
      <c r="C4" s="1" t="s">
        <v>10</v>
      </c>
      <c r="D4" s="1" t="s">
        <v>11</v>
      </c>
      <c r="E4" s="1" t="s">
        <v>12</v>
      </c>
      <c r="F4" s="1" t="s">
        <v>8</v>
      </c>
      <c r="G4" s="1" t="s">
        <v>66</v>
      </c>
    </row>
    <row r="5" spans="1:7" x14ac:dyDescent="0.3">
      <c r="A5" s="5" t="s">
        <v>22</v>
      </c>
      <c r="B5" s="6">
        <v>14</v>
      </c>
      <c r="C5" s="6">
        <v>21</v>
      </c>
      <c r="D5" s="6">
        <v>74</v>
      </c>
      <c r="E5" s="6">
        <v>47</v>
      </c>
      <c r="F5" s="6">
        <v>19</v>
      </c>
      <c r="G5" s="6">
        <v>175</v>
      </c>
    </row>
    <row r="6" spans="1:7" x14ac:dyDescent="0.3">
      <c r="A6" s="5" t="s">
        <v>25</v>
      </c>
      <c r="B6" s="6">
        <v>17</v>
      </c>
      <c r="C6" s="6">
        <v>93</v>
      </c>
      <c r="D6" s="6">
        <v>28</v>
      </c>
      <c r="E6" s="6">
        <v>25</v>
      </c>
      <c r="F6" s="6">
        <v>26</v>
      </c>
      <c r="G6" s="6">
        <v>189</v>
      </c>
    </row>
    <row r="7" spans="1:7" x14ac:dyDescent="0.3">
      <c r="A7" s="5" t="s">
        <v>24</v>
      </c>
      <c r="B7" s="6">
        <v>53</v>
      </c>
      <c r="C7" s="6">
        <v>49</v>
      </c>
      <c r="D7" s="6">
        <v>41</v>
      </c>
      <c r="E7" s="6">
        <v>28</v>
      </c>
      <c r="F7" s="6">
        <v>44</v>
      </c>
      <c r="G7" s="6">
        <v>215</v>
      </c>
    </row>
    <row r="8" spans="1:7" x14ac:dyDescent="0.3">
      <c r="A8" s="5" t="s">
        <v>21</v>
      </c>
      <c r="B8" s="6">
        <v>42</v>
      </c>
      <c r="C8" s="6">
        <v>24</v>
      </c>
      <c r="D8" s="6">
        <v>34</v>
      </c>
      <c r="E8" s="6">
        <v>52</v>
      </c>
      <c r="F8" s="6">
        <v>50</v>
      </c>
      <c r="G8" s="6">
        <v>202</v>
      </c>
    </row>
    <row r="9" spans="1:7" x14ac:dyDescent="0.3">
      <c r="A9" s="5" t="s">
        <v>23</v>
      </c>
      <c r="B9" s="6">
        <v>44</v>
      </c>
      <c r="C9" s="6">
        <v>19</v>
      </c>
      <c r="D9" s="6">
        <v>13</v>
      </c>
      <c r="E9" s="6">
        <v>34</v>
      </c>
      <c r="F9" s="6">
        <v>17</v>
      </c>
      <c r="G9" s="6">
        <v>127</v>
      </c>
    </row>
    <row r="10" spans="1:7" x14ac:dyDescent="0.3">
      <c r="A10" s="5" t="s">
        <v>26</v>
      </c>
      <c r="B10" s="6">
        <v>32</v>
      </c>
      <c r="C10" s="6">
        <v>42</v>
      </c>
      <c r="D10" s="6">
        <v>26</v>
      </c>
      <c r="E10" s="6">
        <v>6</v>
      </c>
      <c r="F10" s="6">
        <v>27</v>
      </c>
      <c r="G10" s="6">
        <v>133</v>
      </c>
    </row>
    <row r="11" spans="1:7" x14ac:dyDescent="0.3">
      <c r="A11" s="5" t="s">
        <v>66</v>
      </c>
      <c r="B11" s="6">
        <v>202</v>
      </c>
      <c r="C11" s="6">
        <v>248</v>
      </c>
      <c r="D11" s="6">
        <v>216</v>
      </c>
      <c r="E11" s="6">
        <v>192</v>
      </c>
      <c r="F11" s="6">
        <v>183</v>
      </c>
      <c r="G11" s="6">
        <v>1041</v>
      </c>
    </row>
    <row r="14" spans="1:7" ht="15.6" x14ac:dyDescent="0.3">
      <c r="A14" s="8" t="s">
        <v>39</v>
      </c>
    </row>
    <row r="15" spans="1:7" ht="171.6" x14ac:dyDescent="0.3">
      <c r="A15" s="3" t="s">
        <v>38</v>
      </c>
    </row>
  </sheetData>
  <pageMargins left="0.7" right="0.7" top="0.75" bottom="0.75" header="0.3" footer="0.3"/>
  <pageSetup paperSize="9" orientation="portrait" horizontalDpi="1200" verticalDpi="120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
  <sheetViews>
    <sheetView rightToLeft="1" workbookViewId="0">
      <selection activeCell="A3" sqref="A3"/>
    </sheetView>
  </sheetViews>
  <sheetFormatPr defaultRowHeight="14.4" x14ac:dyDescent="0.3"/>
  <cols>
    <col min="1" max="1" width="12.5546875" bestFit="1" customWidth="1"/>
    <col min="2" max="2" width="19.88671875" bestFit="1" customWidth="1"/>
    <col min="3" max="3" width="18.33203125" bestFit="1" customWidth="1"/>
    <col min="4" max="4" width="7.44140625" customWidth="1"/>
    <col min="5" max="6" width="7.5546875" customWidth="1"/>
    <col min="7" max="7" width="7.44140625" customWidth="1"/>
    <col min="8" max="8" width="26.44140625" customWidth="1"/>
    <col min="9" max="9" width="4" customWidth="1"/>
    <col min="10" max="10" width="4.6640625" customWidth="1"/>
    <col min="11" max="12" width="4" customWidth="1"/>
    <col min="13" max="13" width="6.44140625" customWidth="1"/>
    <col min="14" max="14" width="34" bestFit="1" customWidth="1"/>
    <col min="15" max="15" width="30.88671875" bestFit="1" customWidth="1"/>
  </cols>
  <sheetData>
    <row r="1" spans="1:3" x14ac:dyDescent="0.3">
      <c r="A1" s="4" t="s">
        <v>0</v>
      </c>
      <c r="B1" s="5" t="s">
        <v>67</v>
      </c>
    </row>
    <row r="3" spans="1:3" x14ac:dyDescent="0.3">
      <c r="A3" s="4" t="s">
        <v>65</v>
      </c>
      <c r="B3" s="1" t="s">
        <v>69</v>
      </c>
      <c r="C3" s="1" t="s">
        <v>70</v>
      </c>
    </row>
    <row r="4" spans="1:3" x14ac:dyDescent="0.3">
      <c r="A4" s="5" t="s">
        <v>20</v>
      </c>
      <c r="B4" s="6">
        <v>16431</v>
      </c>
      <c r="C4" s="6">
        <v>149</v>
      </c>
    </row>
    <row r="5" spans="1:3" x14ac:dyDescent="0.3">
      <c r="A5" s="5" t="s">
        <v>31</v>
      </c>
      <c r="B5" s="6">
        <v>10871</v>
      </c>
      <c r="C5" s="6">
        <v>139</v>
      </c>
    </row>
    <row r="6" spans="1:3" x14ac:dyDescent="0.3">
      <c r="A6" s="5" t="s">
        <v>17</v>
      </c>
      <c r="B6" s="6">
        <v>14256</v>
      </c>
      <c r="C6" s="6">
        <v>88</v>
      </c>
    </row>
    <row r="7" spans="1:3" x14ac:dyDescent="0.3">
      <c r="A7" s="5" t="s">
        <v>29</v>
      </c>
      <c r="B7" s="6">
        <v>15600</v>
      </c>
      <c r="C7" s="6">
        <v>142</v>
      </c>
    </row>
    <row r="8" spans="1:3" x14ac:dyDescent="0.3">
      <c r="A8" s="5" t="s">
        <v>28</v>
      </c>
      <c r="B8" s="6">
        <v>12705</v>
      </c>
      <c r="C8" s="6">
        <v>174</v>
      </c>
    </row>
    <row r="9" spans="1:3" x14ac:dyDescent="0.3">
      <c r="A9" s="5" t="s">
        <v>30</v>
      </c>
      <c r="B9" s="6">
        <v>16530</v>
      </c>
      <c r="C9" s="6">
        <v>150</v>
      </c>
    </row>
    <row r="10" spans="1:3" x14ac:dyDescent="0.3">
      <c r="A10" s="5" t="s">
        <v>19</v>
      </c>
      <c r="B10" s="6">
        <v>8918</v>
      </c>
      <c r="C10" s="6">
        <v>101</v>
      </c>
    </row>
    <row r="11" spans="1:3" x14ac:dyDescent="0.3">
      <c r="A11" s="5" t="s">
        <v>18</v>
      </c>
      <c r="B11" s="6">
        <v>10172</v>
      </c>
      <c r="C11" s="6">
        <v>98</v>
      </c>
    </row>
    <row r="12" spans="1:3" x14ac:dyDescent="0.3">
      <c r="A12" s="5" t="s">
        <v>66</v>
      </c>
      <c r="B12" s="6">
        <v>105483</v>
      </c>
      <c r="C12" s="6">
        <v>1041</v>
      </c>
    </row>
    <row r="15" spans="1:3" ht="409.6" x14ac:dyDescent="0.3">
      <c r="A15" s="7" t="s">
        <v>35</v>
      </c>
      <c r="B15" s="3" t="s">
        <v>36</v>
      </c>
    </row>
  </sheetData>
  <pageMargins left="0.7" right="0.7" top="0.75" bottom="0.75" header="0.3" footer="0.3"/>
  <pageSetup paperSize="9" orientation="portrait" horizontalDpi="1200" verticalDpi="120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F14"/>
  <sheetViews>
    <sheetView rightToLeft="1" workbookViewId="0">
      <selection activeCell="A3" sqref="A3"/>
    </sheetView>
  </sheetViews>
  <sheetFormatPr defaultRowHeight="14.4" x14ac:dyDescent="0.3"/>
  <cols>
    <col min="1" max="1" width="19.88671875" bestFit="1" customWidth="1"/>
    <col min="2" max="2" width="15.5546875" bestFit="1" customWidth="1"/>
    <col min="3" max="3" width="9" customWidth="1"/>
    <col min="4" max="4" width="10.88671875" customWidth="1"/>
    <col min="5" max="5" width="11.21875" customWidth="1"/>
    <col min="6" max="6" width="10.77734375" bestFit="1" customWidth="1"/>
  </cols>
  <sheetData>
    <row r="3" spans="1:6" x14ac:dyDescent="0.3">
      <c r="A3" s="4" t="s">
        <v>69</v>
      </c>
      <c r="B3" s="4" t="s">
        <v>64</v>
      </c>
      <c r="C3" s="1"/>
      <c r="D3" s="1"/>
      <c r="E3" s="1"/>
      <c r="F3" s="1"/>
    </row>
    <row r="4" spans="1:6" x14ac:dyDescent="0.3">
      <c r="A4" s="4" t="s">
        <v>65</v>
      </c>
      <c r="B4" s="1" t="s">
        <v>15</v>
      </c>
      <c r="C4" s="1" t="s">
        <v>13</v>
      </c>
      <c r="D4" s="1" t="s">
        <v>14</v>
      </c>
      <c r="E4" s="1" t="s">
        <v>16</v>
      </c>
      <c r="F4" s="1" t="s">
        <v>66</v>
      </c>
    </row>
    <row r="5" spans="1:6" x14ac:dyDescent="0.3">
      <c r="A5" s="5" t="s">
        <v>9</v>
      </c>
      <c r="B5" s="6">
        <v>1894</v>
      </c>
      <c r="C5" s="6">
        <v>12240</v>
      </c>
      <c r="D5" s="6">
        <v>1985</v>
      </c>
      <c r="E5" s="6">
        <v>4595</v>
      </c>
      <c r="F5" s="6">
        <v>20714</v>
      </c>
    </row>
    <row r="6" spans="1:6" x14ac:dyDescent="0.3">
      <c r="A6" s="5" t="s">
        <v>10</v>
      </c>
      <c r="B6" s="6">
        <v>4577</v>
      </c>
      <c r="C6" s="6">
        <v>2033</v>
      </c>
      <c r="D6" s="6">
        <v>7264</v>
      </c>
      <c r="E6" s="6">
        <v>3178</v>
      </c>
      <c r="F6" s="6">
        <v>17052</v>
      </c>
    </row>
    <row r="7" spans="1:6" x14ac:dyDescent="0.3">
      <c r="A7" s="5" t="s">
        <v>11</v>
      </c>
      <c r="B7" s="6">
        <v>7712</v>
      </c>
      <c r="C7" s="6">
        <v>7705</v>
      </c>
      <c r="D7" s="6">
        <v>5540</v>
      </c>
      <c r="E7" s="6">
        <v>4574</v>
      </c>
      <c r="F7" s="6">
        <v>25531</v>
      </c>
    </row>
    <row r="8" spans="1:6" x14ac:dyDescent="0.3">
      <c r="A8" s="5" t="s">
        <v>12</v>
      </c>
      <c r="B8" s="6">
        <v>7298</v>
      </c>
      <c r="C8" s="6">
        <v>5821</v>
      </c>
      <c r="D8" s="6">
        <v>6809</v>
      </c>
      <c r="E8" s="6">
        <v>2862</v>
      </c>
      <c r="F8" s="6">
        <v>22790</v>
      </c>
    </row>
    <row r="9" spans="1:6" x14ac:dyDescent="0.3">
      <c r="A9" s="5" t="s">
        <v>8</v>
      </c>
      <c r="B9" s="6">
        <v>3646</v>
      </c>
      <c r="C9" s="6">
        <v>4232</v>
      </c>
      <c r="D9" s="6">
        <v>5104</v>
      </c>
      <c r="E9" s="6">
        <v>6414</v>
      </c>
      <c r="F9" s="6">
        <v>19396</v>
      </c>
    </row>
    <row r="10" spans="1:6" x14ac:dyDescent="0.3">
      <c r="A10" s="5" t="s">
        <v>66</v>
      </c>
      <c r="B10" s="6">
        <v>25127</v>
      </c>
      <c r="C10" s="6">
        <v>32031</v>
      </c>
      <c r="D10" s="6">
        <v>26702</v>
      </c>
      <c r="E10" s="6">
        <v>21623</v>
      </c>
      <c r="F10" s="6">
        <v>105483</v>
      </c>
    </row>
    <row r="13" spans="1:6" ht="140.4" x14ac:dyDescent="0.3">
      <c r="A13" s="3" t="s">
        <v>37</v>
      </c>
    </row>
    <row r="14" spans="1:6" ht="218.4" x14ac:dyDescent="0.3">
      <c r="A14" s="3" t="s">
        <v>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H17"/>
  <sheetViews>
    <sheetView rightToLeft="1" workbookViewId="0">
      <selection activeCell="T5" sqref="T5"/>
    </sheetView>
  </sheetViews>
  <sheetFormatPr defaultRowHeight="14.4" x14ac:dyDescent="0.3"/>
  <cols>
    <col min="1" max="1" width="22.21875" bestFit="1" customWidth="1"/>
    <col min="2" max="2" width="15.5546875" bestFit="1" customWidth="1"/>
    <col min="3" max="7" width="7" bestFit="1" customWidth="1"/>
    <col min="8" max="8" width="10.77734375" bestFit="1" customWidth="1"/>
  </cols>
  <sheetData>
    <row r="3" spans="1:8" x14ac:dyDescent="0.3">
      <c r="A3" s="4" t="s">
        <v>68</v>
      </c>
      <c r="B3" s="4" t="s">
        <v>64</v>
      </c>
      <c r="C3" s="1"/>
      <c r="D3" s="1"/>
      <c r="E3" s="1"/>
      <c r="F3" s="1"/>
      <c r="G3" s="1"/>
      <c r="H3" s="1"/>
    </row>
    <row r="4" spans="1:8" x14ac:dyDescent="0.3">
      <c r="A4" s="4" t="s">
        <v>65</v>
      </c>
      <c r="B4" s="1" t="s">
        <v>22</v>
      </c>
      <c r="C4" s="1" t="s">
        <v>25</v>
      </c>
      <c r="D4" s="1" t="s">
        <v>24</v>
      </c>
      <c r="E4" s="1" t="s">
        <v>21</v>
      </c>
      <c r="F4" s="1" t="s">
        <v>23</v>
      </c>
      <c r="G4" s="1" t="s">
        <v>26</v>
      </c>
      <c r="H4" s="1" t="s">
        <v>66</v>
      </c>
    </row>
    <row r="5" spans="1:8" x14ac:dyDescent="0.3">
      <c r="A5" s="5" t="s">
        <v>20</v>
      </c>
      <c r="B5" s="6">
        <v>37823</v>
      </c>
      <c r="C5" s="6">
        <v>79872</v>
      </c>
      <c r="D5" s="6">
        <v>82134</v>
      </c>
      <c r="E5" s="6">
        <v>24275</v>
      </c>
      <c r="F5" s="6">
        <v>86629</v>
      </c>
      <c r="G5" s="6">
        <v>3970</v>
      </c>
      <c r="H5" s="6">
        <v>314703</v>
      </c>
    </row>
    <row r="6" spans="1:8" x14ac:dyDescent="0.3">
      <c r="A6" s="5" t="s">
        <v>31</v>
      </c>
      <c r="B6" s="6"/>
      <c r="C6" s="6">
        <v>35651</v>
      </c>
      <c r="D6" s="6">
        <v>72945</v>
      </c>
      <c r="E6" s="6">
        <v>41036</v>
      </c>
      <c r="F6" s="6">
        <v>40380</v>
      </c>
      <c r="G6" s="6">
        <v>43071</v>
      </c>
      <c r="H6" s="6">
        <v>233083</v>
      </c>
    </row>
    <row r="7" spans="1:8" x14ac:dyDescent="0.3">
      <c r="A7" s="5" t="s">
        <v>17</v>
      </c>
      <c r="B7" s="6">
        <v>50648</v>
      </c>
      <c r="C7" s="6">
        <v>8215</v>
      </c>
      <c r="D7" s="6">
        <v>20255</v>
      </c>
      <c r="E7" s="6">
        <v>103303</v>
      </c>
      <c r="F7" s="6"/>
      <c r="G7" s="6"/>
      <c r="H7" s="6">
        <v>182421</v>
      </c>
    </row>
    <row r="8" spans="1:8" x14ac:dyDescent="0.3">
      <c r="A8" s="5" t="s">
        <v>29</v>
      </c>
      <c r="B8" s="6">
        <v>35365</v>
      </c>
      <c r="C8" s="6">
        <v>14296</v>
      </c>
      <c r="D8" s="6">
        <v>70290</v>
      </c>
      <c r="E8" s="6">
        <v>69663</v>
      </c>
      <c r="F8" s="6"/>
      <c r="G8" s="6">
        <v>60958</v>
      </c>
      <c r="H8" s="6">
        <v>250572</v>
      </c>
    </row>
    <row r="9" spans="1:8" x14ac:dyDescent="0.3">
      <c r="A9" s="5" t="s">
        <v>28</v>
      </c>
      <c r="B9" s="6">
        <v>19962</v>
      </c>
      <c r="C9" s="6">
        <v>90755</v>
      </c>
      <c r="D9" s="6">
        <v>88060</v>
      </c>
      <c r="E9" s="6">
        <v>37735</v>
      </c>
      <c r="F9" s="6">
        <v>90201</v>
      </c>
      <c r="G9" s="6">
        <v>47159</v>
      </c>
      <c r="H9" s="6">
        <v>373872</v>
      </c>
    </row>
    <row r="10" spans="1:8" x14ac:dyDescent="0.3">
      <c r="A10" s="5" t="s">
        <v>30</v>
      </c>
      <c r="B10" s="6">
        <v>48225</v>
      </c>
      <c r="C10" s="6">
        <v>54490</v>
      </c>
      <c r="D10" s="6">
        <v>15726</v>
      </c>
      <c r="E10" s="6">
        <v>31982</v>
      </c>
      <c r="F10" s="6">
        <v>5560</v>
      </c>
      <c r="G10" s="6">
        <v>32717</v>
      </c>
      <c r="H10" s="6">
        <v>188700</v>
      </c>
    </row>
    <row r="11" spans="1:8" x14ac:dyDescent="0.3">
      <c r="A11" s="5" t="s">
        <v>19</v>
      </c>
      <c r="B11" s="6">
        <v>15910</v>
      </c>
      <c r="C11" s="6">
        <v>24371</v>
      </c>
      <c r="D11" s="6">
        <v>62486</v>
      </c>
      <c r="E11" s="6">
        <v>33682</v>
      </c>
      <c r="F11" s="6"/>
      <c r="G11" s="6">
        <v>21967</v>
      </c>
      <c r="H11" s="6">
        <v>158416</v>
      </c>
    </row>
    <row r="12" spans="1:8" x14ac:dyDescent="0.3">
      <c r="A12" s="5" t="s">
        <v>18</v>
      </c>
      <c r="B12" s="6">
        <v>37606</v>
      </c>
      <c r="C12" s="6">
        <v>47041</v>
      </c>
      <c r="D12" s="6"/>
      <c r="E12" s="6"/>
      <c r="F12" s="6">
        <v>44336</v>
      </c>
      <c r="G12" s="6">
        <v>63277</v>
      </c>
      <c r="H12" s="6">
        <v>192260</v>
      </c>
    </row>
    <row r="13" spans="1:8" x14ac:dyDescent="0.3">
      <c r="A13" s="5" t="s">
        <v>66</v>
      </c>
      <c r="B13" s="6">
        <v>245539</v>
      </c>
      <c r="C13" s="6">
        <v>354691</v>
      </c>
      <c r="D13" s="6">
        <v>411896</v>
      </c>
      <c r="E13" s="6">
        <v>341676</v>
      </c>
      <c r="F13" s="6">
        <v>267106</v>
      </c>
      <c r="G13" s="6">
        <v>273119</v>
      </c>
      <c r="H13" s="6">
        <v>1894027</v>
      </c>
    </row>
    <row r="16" spans="1:8" ht="171.6" x14ac:dyDescent="0.3">
      <c r="A16" s="2" t="s">
        <v>33</v>
      </c>
    </row>
    <row r="17" spans="1:1" ht="171.6" x14ac:dyDescent="0.3">
      <c r="A17" s="3" t="s">
        <v>32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1"/>
  <sheetViews>
    <sheetView rightToLeft="1" tabSelected="1" workbookViewId="0">
      <selection activeCell="H8" sqref="H8"/>
    </sheetView>
  </sheetViews>
  <sheetFormatPr defaultRowHeight="15.6" x14ac:dyDescent="0.3"/>
  <cols>
    <col min="1" max="1" width="9.77734375" style="10" bestFit="1" customWidth="1"/>
    <col min="2" max="2" width="13.33203125" style="10" bestFit="1" customWidth="1"/>
    <col min="3" max="3" width="6.21875" style="10" bestFit="1" customWidth="1"/>
    <col min="4" max="4" width="7.109375" style="10" bestFit="1" customWidth="1"/>
    <col min="5" max="5" width="12.88671875" style="10" bestFit="1" customWidth="1"/>
    <col min="6" max="6" width="17" style="10" bestFit="1" customWidth="1"/>
    <col min="7" max="7" width="17.5546875" style="10" bestFit="1" customWidth="1"/>
    <col min="8" max="8" width="14.88671875" style="10" bestFit="1" customWidth="1"/>
    <col min="9" max="9" width="15.88671875" style="10" bestFit="1" customWidth="1"/>
    <col min="10" max="10" width="6.44140625" style="10" bestFit="1" customWidth="1"/>
  </cols>
  <sheetData>
    <row r="1" spans="1:10" x14ac:dyDescent="0.3">
      <c r="A1" s="9" t="s">
        <v>0</v>
      </c>
      <c r="B1" s="9" t="s">
        <v>1</v>
      </c>
      <c r="C1" s="9" t="s">
        <v>2</v>
      </c>
      <c r="D1" s="9" t="s">
        <v>3</v>
      </c>
      <c r="E1" s="9" t="s">
        <v>4</v>
      </c>
      <c r="F1" s="9" t="s">
        <v>6</v>
      </c>
      <c r="G1" s="9" t="s">
        <v>5</v>
      </c>
      <c r="H1" s="9" t="s">
        <v>7</v>
      </c>
      <c r="I1" s="9" t="s">
        <v>27</v>
      </c>
      <c r="J1" s="9" t="s">
        <v>42</v>
      </c>
    </row>
    <row r="2" spans="1:10" x14ac:dyDescent="0.3">
      <c r="A2" s="10" t="s">
        <v>8</v>
      </c>
      <c r="B2" s="10" t="s">
        <v>16</v>
      </c>
      <c r="C2" s="10" t="s">
        <v>28</v>
      </c>
      <c r="D2" s="10" t="s">
        <v>25</v>
      </c>
      <c r="E2" s="10">
        <v>9</v>
      </c>
      <c r="F2" s="10">
        <v>1303</v>
      </c>
      <c r="G2" s="10">
        <v>12284</v>
      </c>
      <c r="H2" s="10">
        <v>557</v>
      </c>
      <c r="I2" s="10">
        <v>7143</v>
      </c>
      <c r="J2" s="10" t="s">
        <v>43</v>
      </c>
    </row>
    <row r="3" spans="1:10" x14ac:dyDescent="0.3">
      <c r="A3" s="10" t="s">
        <v>11</v>
      </c>
      <c r="B3" s="10" t="s">
        <v>16</v>
      </c>
      <c r="C3" s="10" t="s">
        <v>28</v>
      </c>
      <c r="D3" s="10" t="s">
        <v>24</v>
      </c>
      <c r="E3" s="10">
        <v>19</v>
      </c>
      <c r="F3" s="10">
        <v>2028</v>
      </c>
      <c r="G3" s="10">
        <v>38697</v>
      </c>
      <c r="H3" s="10">
        <v>165</v>
      </c>
      <c r="I3" s="10">
        <v>6244</v>
      </c>
      <c r="J3" s="10" t="s">
        <v>44</v>
      </c>
    </row>
    <row r="4" spans="1:10" x14ac:dyDescent="0.3">
      <c r="A4" s="10" t="s">
        <v>10</v>
      </c>
      <c r="B4" s="10" t="s">
        <v>16</v>
      </c>
      <c r="C4" s="10" t="s">
        <v>28</v>
      </c>
      <c r="D4" s="10" t="s">
        <v>26</v>
      </c>
      <c r="E4" s="10">
        <v>17</v>
      </c>
      <c r="F4" s="10">
        <v>2765</v>
      </c>
      <c r="G4" s="10">
        <v>47159</v>
      </c>
      <c r="H4" s="10">
        <v>154</v>
      </c>
      <c r="I4" s="10">
        <v>10597</v>
      </c>
      <c r="J4" s="10" t="s">
        <v>45</v>
      </c>
    </row>
    <row r="5" spans="1:10" x14ac:dyDescent="0.3">
      <c r="A5" s="10" t="s">
        <v>11</v>
      </c>
      <c r="B5" s="10" t="s">
        <v>13</v>
      </c>
      <c r="C5" s="10" t="s">
        <v>29</v>
      </c>
      <c r="D5" s="10" t="s">
        <v>22</v>
      </c>
      <c r="E5" s="10">
        <v>8</v>
      </c>
      <c r="F5" s="10">
        <v>2139</v>
      </c>
      <c r="G5" s="10">
        <v>18418</v>
      </c>
      <c r="H5" s="10">
        <v>1306</v>
      </c>
      <c r="I5" s="10">
        <v>8278</v>
      </c>
      <c r="J5" s="10" t="s">
        <v>45</v>
      </c>
    </row>
    <row r="6" spans="1:10" x14ac:dyDescent="0.3">
      <c r="A6" s="10" t="s">
        <v>10</v>
      </c>
      <c r="B6" s="10" t="s">
        <v>16</v>
      </c>
      <c r="C6" s="10" t="s">
        <v>19</v>
      </c>
      <c r="D6" s="10" t="s">
        <v>25</v>
      </c>
      <c r="E6" s="10">
        <v>14</v>
      </c>
      <c r="F6" s="10">
        <v>1693</v>
      </c>
      <c r="G6" s="10">
        <v>24371</v>
      </c>
      <c r="H6" s="10">
        <v>669</v>
      </c>
      <c r="I6" s="10">
        <v>7273</v>
      </c>
      <c r="J6" s="10" t="s">
        <v>43</v>
      </c>
    </row>
    <row r="7" spans="1:10" x14ac:dyDescent="0.3">
      <c r="A7" s="10" t="s">
        <v>9</v>
      </c>
      <c r="B7" s="10" t="s">
        <v>13</v>
      </c>
      <c r="C7" s="10" t="s">
        <v>29</v>
      </c>
      <c r="D7" s="10" t="s">
        <v>24</v>
      </c>
      <c r="E7" s="10">
        <v>3</v>
      </c>
      <c r="F7" s="10">
        <v>1856</v>
      </c>
      <c r="G7" s="10">
        <v>5866</v>
      </c>
      <c r="H7" s="10">
        <v>298</v>
      </c>
      <c r="I7" s="10">
        <v>8940</v>
      </c>
      <c r="J7" s="10" t="s">
        <v>45</v>
      </c>
    </row>
    <row r="8" spans="1:10" x14ac:dyDescent="0.3">
      <c r="A8" s="10" t="s">
        <v>11</v>
      </c>
      <c r="B8" s="10" t="s">
        <v>14</v>
      </c>
      <c r="C8" s="10" t="s">
        <v>30</v>
      </c>
      <c r="D8" s="10" t="s">
        <v>23</v>
      </c>
      <c r="E8" s="10">
        <v>2</v>
      </c>
      <c r="F8" s="10">
        <v>2181</v>
      </c>
      <c r="G8" s="10">
        <v>5560</v>
      </c>
      <c r="H8" s="10">
        <v>1198</v>
      </c>
      <c r="I8" s="10">
        <v>7022</v>
      </c>
      <c r="J8" s="10" t="s">
        <v>44</v>
      </c>
    </row>
    <row r="9" spans="1:10" x14ac:dyDescent="0.3">
      <c r="A9" s="10" t="s">
        <v>8</v>
      </c>
      <c r="B9" s="10" t="s">
        <v>15</v>
      </c>
      <c r="C9" s="10" t="s">
        <v>17</v>
      </c>
      <c r="D9" s="10" t="s">
        <v>21</v>
      </c>
      <c r="E9" s="10">
        <v>10</v>
      </c>
      <c r="F9" s="10">
        <v>2874</v>
      </c>
      <c r="G9" s="10">
        <v>30106</v>
      </c>
      <c r="H9" s="10">
        <v>1366</v>
      </c>
      <c r="I9" s="10">
        <v>8962</v>
      </c>
      <c r="J9" s="10" t="s">
        <v>43</v>
      </c>
    </row>
    <row r="10" spans="1:10" x14ac:dyDescent="0.3">
      <c r="A10" s="10" t="s">
        <v>8</v>
      </c>
      <c r="B10" s="10" t="s">
        <v>13</v>
      </c>
      <c r="C10" s="10" t="s">
        <v>29</v>
      </c>
      <c r="D10" s="10" t="s">
        <v>24</v>
      </c>
      <c r="E10" s="10">
        <v>8</v>
      </c>
      <c r="F10" s="10">
        <v>1485</v>
      </c>
      <c r="G10" s="10">
        <v>12143</v>
      </c>
      <c r="H10" s="10">
        <v>263</v>
      </c>
      <c r="I10" s="10">
        <v>7907</v>
      </c>
      <c r="J10" s="10" t="s">
        <v>43</v>
      </c>
    </row>
    <row r="11" spans="1:10" x14ac:dyDescent="0.3">
      <c r="A11" s="10" t="s">
        <v>12</v>
      </c>
      <c r="B11" s="10" t="s">
        <v>16</v>
      </c>
      <c r="C11" s="10" t="s">
        <v>28</v>
      </c>
      <c r="D11" s="10" t="s">
        <v>23</v>
      </c>
      <c r="E11" s="10">
        <v>15</v>
      </c>
      <c r="F11" s="10">
        <v>2903</v>
      </c>
      <c r="G11" s="10">
        <v>45353</v>
      </c>
      <c r="H11" s="10">
        <v>1808</v>
      </c>
      <c r="I11" s="10">
        <v>8988</v>
      </c>
      <c r="J11" s="10" t="s">
        <v>46</v>
      </c>
    </row>
    <row r="12" spans="1:10" x14ac:dyDescent="0.3">
      <c r="A12" s="10" t="s">
        <v>9</v>
      </c>
      <c r="B12" s="10" t="s">
        <v>13</v>
      </c>
      <c r="C12" s="10" t="s">
        <v>20</v>
      </c>
      <c r="D12" s="10" t="s">
        <v>23</v>
      </c>
      <c r="E12" s="10">
        <v>7</v>
      </c>
      <c r="F12" s="10">
        <v>1393</v>
      </c>
      <c r="G12" s="10">
        <v>11288</v>
      </c>
      <c r="H12" s="10">
        <v>1537</v>
      </c>
      <c r="I12" s="10">
        <v>11599</v>
      </c>
      <c r="J12" s="10" t="s">
        <v>45</v>
      </c>
    </row>
    <row r="13" spans="1:10" x14ac:dyDescent="0.3">
      <c r="A13" s="10" t="s">
        <v>11</v>
      </c>
      <c r="B13" s="10" t="s">
        <v>16</v>
      </c>
      <c r="C13" s="10" t="s">
        <v>28</v>
      </c>
      <c r="D13" s="10" t="s">
        <v>25</v>
      </c>
      <c r="E13" s="10">
        <v>6</v>
      </c>
      <c r="F13" s="10">
        <v>2487</v>
      </c>
      <c r="G13" s="10">
        <v>16515</v>
      </c>
      <c r="H13" s="10">
        <v>1593</v>
      </c>
      <c r="I13" s="10">
        <v>8005</v>
      </c>
      <c r="J13" s="10" t="s">
        <v>45</v>
      </c>
    </row>
    <row r="14" spans="1:10" x14ac:dyDescent="0.3">
      <c r="A14" s="10" t="s">
        <v>12</v>
      </c>
      <c r="B14" s="10" t="s">
        <v>13</v>
      </c>
      <c r="C14" s="10" t="s">
        <v>20</v>
      </c>
      <c r="D14" s="10" t="s">
        <v>22</v>
      </c>
      <c r="E14" s="10">
        <v>9</v>
      </c>
      <c r="F14" s="10">
        <v>2921</v>
      </c>
      <c r="G14" s="10">
        <v>27798</v>
      </c>
      <c r="H14" s="10">
        <v>1509</v>
      </c>
      <c r="I14" s="10">
        <v>10562</v>
      </c>
      <c r="J14" s="10" t="s">
        <v>47</v>
      </c>
    </row>
    <row r="15" spans="1:10" x14ac:dyDescent="0.3">
      <c r="A15" s="10" t="s">
        <v>9</v>
      </c>
      <c r="B15" s="10" t="s">
        <v>13</v>
      </c>
      <c r="C15" s="10" t="s">
        <v>29</v>
      </c>
      <c r="D15" s="10" t="s">
        <v>24</v>
      </c>
      <c r="E15" s="10">
        <v>8</v>
      </c>
      <c r="F15" s="10">
        <v>431</v>
      </c>
      <c r="G15" s="10">
        <v>5196</v>
      </c>
      <c r="H15" s="10">
        <v>1748</v>
      </c>
      <c r="I15" s="10">
        <v>8584</v>
      </c>
      <c r="J15" s="10" t="s">
        <v>46</v>
      </c>
    </row>
    <row r="16" spans="1:10" x14ac:dyDescent="0.3">
      <c r="A16" s="10" t="s">
        <v>9</v>
      </c>
      <c r="B16" s="10" t="s">
        <v>15</v>
      </c>
      <c r="C16" s="10" t="s">
        <v>17</v>
      </c>
      <c r="D16" s="10" t="s">
        <v>24</v>
      </c>
      <c r="E16" s="10">
        <v>7</v>
      </c>
      <c r="F16" s="10">
        <v>2623</v>
      </c>
      <c r="G16" s="10">
        <v>20255</v>
      </c>
      <c r="H16" s="10">
        <v>1894</v>
      </c>
      <c r="I16" s="10">
        <v>11881</v>
      </c>
      <c r="J16" s="10" t="s">
        <v>46</v>
      </c>
    </row>
    <row r="17" spans="1:10" x14ac:dyDescent="0.3">
      <c r="A17" s="10" t="s">
        <v>10</v>
      </c>
      <c r="B17" s="10" t="s">
        <v>14</v>
      </c>
      <c r="C17" s="10" t="s">
        <v>30</v>
      </c>
      <c r="D17" s="10" t="s">
        <v>25</v>
      </c>
      <c r="E17" s="10">
        <v>16</v>
      </c>
      <c r="F17" s="10">
        <v>1920</v>
      </c>
      <c r="G17" s="10">
        <v>32631</v>
      </c>
      <c r="H17" s="10">
        <v>1911</v>
      </c>
      <c r="I17" s="10">
        <v>11266</v>
      </c>
      <c r="J17" s="10" t="s">
        <v>45</v>
      </c>
    </row>
    <row r="18" spans="1:10" x14ac:dyDescent="0.3">
      <c r="A18" s="10" t="s">
        <v>10</v>
      </c>
      <c r="B18" s="10" t="s">
        <v>15</v>
      </c>
      <c r="C18" s="10" t="s">
        <v>31</v>
      </c>
      <c r="D18" s="10" t="s">
        <v>23</v>
      </c>
      <c r="E18" s="10">
        <v>5</v>
      </c>
      <c r="F18" s="10">
        <v>1310</v>
      </c>
      <c r="G18" s="10">
        <v>8175</v>
      </c>
      <c r="H18" s="10">
        <v>1625</v>
      </c>
      <c r="I18" s="10">
        <v>10598</v>
      </c>
      <c r="J18" s="10" t="s">
        <v>43</v>
      </c>
    </row>
    <row r="19" spans="1:10" x14ac:dyDescent="0.3">
      <c r="A19" s="10" t="s">
        <v>11</v>
      </c>
      <c r="B19" s="10" t="s">
        <v>14</v>
      </c>
      <c r="C19" s="10" t="s">
        <v>18</v>
      </c>
      <c r="D19" s="10" t="s">
        <v>22</v>
      </c>
      <c r="E19" s="10">
        <v>19</v>
      </c>
      <c r="F19" s="10">
        <v>1935</v>
      </c>
      <c r="G19" s="10">
        <v>37606</v>
      </c>
      <c r="H19" s="10">
        <v>841</v>
      </c>
      <c r="I19" s="10">
        <v>7796</v>
      </c>
      <c r="J19" s="10" t="s">
        <v>44</v>
      </c>
    </row>
    <row r="20" spans="1:10" x14ac:dyDescent="0.3">
      <c r="A20" s="10" t="s">
        <v>11</v>
      </c>
      <c r="B20" s="10" t="s">
        <v>13</v>
      </c>
      <c r="C20" s="10" t="s">
        <v>20</v>
      </c>
      <c r="D20" s="10" t="s">
        <v>22</v>
      </c>
      <c r="E20" s="10">
        <v>3</v>
      </c>
      <c r="F20" s="10">
        <v>492</v>
      </c>
      <c r="G20" s="10">
        <v>3339</v>
      </c>
      <c r="H20" s="10">
        <v>1863</v>
      </c>
      <c r="I20" s="10">
        <v>6898</v>
      </c>
      <c r="J20" s="10" t="s">
        <v>44</v>
      </c>
    </row>
    <row r="21" spans="1:10" x14ac:dyDescent="0.3">
      <c r="A21" s="10" t="s">
        <v>10</v>
      </c>
      <c r="B21" s="10" t="s">
        <v>13</v>
      </c>
      <c r="C21" s="10" t="s">
        <v>20</v>
      </c>
      <c r="D21" s="10" t="s">
        <v>25</v>
      </c>
      <c r="E21" s="10">
        <v>14</v>
      </c>
      <c r="F21" s="10">
        <v>2742</v>
      </c>
      <c r="G21" s="10">
        <v>38618</v>
      </c>
      <c r="H21" s="10">
        <v>230</v>
      </c>
      <c r="I21" s="10">
        <v>9152</v>
      </c>
      <c r="J21" s="10" t="s">
        <v>43</v>
      </c>
    </row>
    <row r="22" spans="1:10" x14ac:dyDescent="0.3">
      <c r="A22" s="10" t="s">
        <v>11</v>
      </c>
      <c r="B22" s="10" t="s">
        <v>15</v>
      </c>
      <c r="C22" s="10" t="s">
        <v>17</v>
      </c>
      <c r="D22" s="10" t="s">
        <v>22</v>
      </c>
      <c r="E22" s="10">
        <v>17</v>
      </c>
      <c r="F22" s="10">
        <v>1329</v>
      </c>
      <c r="G22" s="10">
        <v>23826</v>
      </c>
      <c r="H22" s="10">
        <v>1233</v>
      </c>
      <c r="I22" s="10">
        <v>6094</v>
      </c>
      <c r="J22" s="10" t="s">
        <v>45</v>
      </c>
    </row>
    <row r="23" spans="1:10" x14ac:dyDescent="0.3">
      <c r="A23" s="10" t="s">
        <v>11</v>
      </c>
      <c r="B23" s="10" t="s">
        <v>16</v>
      </c>
      <c r="C23" s="10" t="s">
        <v>28</v>
      </c>
      <c r="D23" s="10" t="s">
        <v>23</v>
      </c>
      <c r="E23" s="10">
        <v>11</v>
      </c>
      <c r="F23" s="10">
        <v>756</v>
      </c>
      <c r="G23" s="10">
        <v>9017</v>
      </c>
      <c r="H23" s="10">
        <v>701</v>
      </c>
      <c r="I23" s="10">
        <v>9561</v>
      </c>
      <c r="J23" s="10" t="s">
        <v>44</v>
      </c>
    </row>
    <row r="24" spans="1:10" x14ac:dyDescent="0.3">
      <c r="A24" s="10" t="s">
        <v>12</v>
      </c>
      <c r="B24" s="10" t="s">
        <v>13</v>
      </c>
      <c r="C24" s="10" t="s">
        <v>20</v>
      </c>
      <c r="D24" s="10" t="s">
        <v>24</v>
      </c>
      <c r="E24" s="10">
        <v>9</v>
      </c>
      <c r="F24" s="10">
        <v>2350</v>
      </c>
      <c r="G24" s="10">
        <v>22810</v>
      </c>
      <c r="H24" s="10">
        <v>1660</v>
      </c>
      <c r="I24" s="10">
        <v>7463</v>
      </c>
      <c r="J24" s="10" t="s">
        <v>46</v>
      </c>
    </row>
    <row r="25" spans="1:10" x14ac:dyDescent="0.3">
      <c r="A25" s="10" t="s">
        <v>9</v>
      </c>
      <c r="B25" s="10" t="s">
        <v>16</v>
      </c>
      <c r="C25" s="10" t="s">
        <v>28</v>
      </c>
      <c r="D25" s="10" t="s">
        <v>25</v>
      </c>
      <c r="E25" s="10">
        <v>17</v>
      </c>
      <c r="F25" s="10">
        <v>2794</v>
      </c>
      <c r="G25" s="10">
        <v>48005</v>
      </c>
      <c r="H25" s="10">
        <v>507</v>
      </c>
      <c r="I25" s="10">
        <v>7252</v>
      </c>
      <c r="J25" s="10" t="s">
        <v>46</v>
      </c>
    </row>
    <row r="26" spans="1:10" x14ac:dyDescent="0.3">
      <c r="A26" s="10" t="s">
        <v>10</v>
      </c>
      <c r="B26" s="10" t="s">
        <v>14</v>
      </c>
      <c r="C26" s="10" t="s">
        <v>30</v>
      </c>
      <c r="D26" s="10" t="s">
        <v>21</v>
      </c>
      <c r="E26" s="10">
        <v>17</v>
      </c>
      <c r="F26" s="10">
        <v>302</v>
      </c>
      <c r="G26" s="10">
        <v>6460</v>
      </c>
      <c r="H26" s="10">
        <v>1326</v>
      </c>
      <c r="I26" s="10">
        <v>8655</v>
      </c>
      <c r="J26" s="10" t="s">
        <v>43</v>
      </c>
    </row>
    <row r="27" spans="1:10" x14ac:dyDescent="0.3">
      <c r="A27" s="10" t="s">
        <v>8</v>
      </c>
      <c r="B27" s="10" t="s">
        <v>15</v>
      </c>
      <c r="C27" s="10" t="s">
        <v>31</v>
      </c>
      <c r="D27" s="10" t="s">
        <v>24</v>
      </c>
      <c r="E27" s="10">
        <v>12</v>
      </c>
      <c r="F27" s="10">
        <v>1559</v>
      </c>
      <c r="G27" s="10">
        <v>19298</v>
      </c>
      <c r="H27" s="10">
        <v>590</v>
      </c>
      <c r="I27" s="10">
        <v>6474</v>
      </c>
      <c r="J27" s="10" t="s">
        <v>44</v>
      </c>
    </row>
    <row r="28" spans="1:10" x14ac:dyDescent="0.3">
      <c r="A28" s="10" t="s">
        <v>11</v>
      </c>
      <c r="B28" s="10" t="s">
        <v>13</v>
      </c>
      <c r="C28" s="10" t="s">
        <v>29</v>
      </c>
      <c r="D28" s="10" t="s">
        <v>24</v>
      </c>
      <c r="E28" s="10">
        <v>3</v>
      </c>
      <c r="F28" s="10">
        <v>2290</v>
      </c>
      <c r="G28" s="10">
        <v>8641</v>
      </c>
      <c r="H28" s="10">
        <v>1771</v>
      </c>
      <c r="I28" s="10">
        <v>6566</v>
      </c>
      <c r="J28" s="10" t="s">
        <v>45</v>
      </c>
    </row>
    <row r="29" spans="1:10" x14ac:dyDescent="0.3">
      <c r="A29" s="10" t="s">
        <v>10</v>
      </c>
      <c r="B29" s="10" t="s">
        <v>13</v>
      </c>
      <c r="C29" s="10" t="s">
        <v>20</v>
      </c>
      <c r="D29" s="10" t="s">
        <v>25</v>
      </c>
      <c r="E29" s="10">
        <v>16</v>
      </c>
      <c r="F29" s="10">
        <v>2551</v>
      </c>
      <c r="G29" s="10">
        <v>41254</v>
      </c>
      <c r="H29" s="10">
        <v>438</v>
      </c>
      <c r="I29" s="10">
        <v>8171</v>
      </c>
      <c r="J29" s="10" t="s">
        <v>43</v>
      </c>
    </row>
    <row r="30" spans="1:10" x14ac:dyDescent="0.3">
      <c r="A30" s="10" t="s">
        <v>10</v>
      </c>
      <c r="B30" s="10" t="s">
        <v>15</v>
      </c>
      <c r="C30" s="10" t="s">
        <v>17</v>
      </c>
      <c r="D30" s="10" t="s">
        <v>21</v>
      </c>
      <c r="E30" s="10">
        <v>7</v>
      </c>
      <c r="F30" s="10">
        <v>1576</v>
      </c>
      <c r="G30" s="10">
        <v>11949</v>
      </c>
      <c r="H30" s="10">
        <v>917</v>
      </c>
      <c r="I30" s="10">
        <v>11502</v>
      </c>
      <c r="J30" s="10" t="s">
        <v>45</v>
      </c>
    </row>
    <row r="31" spans="1:10" x14ac:dyDescent="0.3">
      <c r="A31" s="10" t="s">
        <v>12</v>
      </c>
      <c r="B31" s="10" t="s">
        <v>14</v>
      </c>
      <c r="C31" s="10" t="s">
        <v>30</v>
      </c>
      <c r="D31" s="10" t="s">
        <v>21</v>
      </c>
      <c r="E31" s="10">
        <v>15</v>
      </c>
      <c r="F31" s="10">
        <v>795</v>
      </c>
      <c r="G31" s="10">
        <v>12532</v>
      </c>
      <c r="H31" s="10">
        <v>607</v>
      </c>
      <c r="I31" s="10">
        <v>7840</v>
      </c>
      <c r="J31" s="10" t="s">
        <v>47</v>
      </c>
    </row>
    <row r="32" spans="1:10" x14ac:dyDescent="0.3">
      <c r="A32" s="10" t="s">
        <v>9</v>
      </c>
      <c r="B32" s="10" t="s">
        <v>16</v>
      </c>
      <c r="C32" s="10" t="s">
        <v>28</v>
      </c>
      <c r="D32" s="10" t="s">
        <v>24</v>
      </c>
      <c r="E32" s="10">
        <v>19</v>
      </c>
      <c r="F32" s="10">
        <v>2568</v>
      </c>
      <c r="G32" s="10">
        <v>49363</v>
      </c>
      <c r="H32" s="10">
        <v>571</v>
      </c>
      <c r="I32" s="10">
        <v>10820</v>
      </c>
      <c r="J32" s="10" t="s">
        <v>46</v>
      </c>
    </row>
    <row r="33" spans="1:10" x14ac:dyDescent="0.3">
      <c r="A33" s="10" t="s">
        <v>8</v>
      </c>
      <c r="B33" s="10" t="s">
        <v>13</v>
      </c>
      <c r="C33" s="10" t="s">
        <v>29</v>
      </c>
      <c r="D33" s="10" t="s">
        <v>24</v>
      </c>
      <c r="E33" s="10">
        <v>2</v>
      </c>
      <c r="F33" s="10">
        <v>1237</v>
      </c>
      <c r="G33" s="10">
        <v>2712</v>
      </c>
      <c r="H33" s="10">
        <v>238</v>
      </c>
      <c r="I33" s="10">
        <v>6257</v>
      </c>
      <c r="J33" s="10" t="s">
        <v>44</v>
      </c>
    </row>
    <row r="34" spans="1:10" x14ac:dyDescent="0.3">
      <c r="A34" s="10" t="s">
        <v>8</v>
      </c>
      <c r="B34" s="10" t="s">
        <v>14</v>
      </c>
      <c r="C34" s="10" t="s">
        <v>30</v>
      </c>
      <c r="D34" s="10" t="s">
        <v>21</v>
      </c>
      <c r="E34" s="10">
        <v>8</v>
      </c>
      <c r="F34" s="10">
        <v>1440</v>
      </c>
      <c r="G34" s="10">
        <v>12990</v>
      </c>
      <c r="H34" s="10">
        <v>1470</v>
      </c>
      <c r="I34" s="10">
        <v>9976</v>
      </c>
      <c r="J34" s="10" t="s">
        <v>43</v>
      </c>
    </row>
    <row r="35" spans="1:10" x14ac:dyDescent="0.3">
      <c r="A35" s="10" t="s">
        <v>11</v>
      </c>
      <c r="B35" s="10" t="s">
        <v>13</v>
      </c>
      <c r="C35" s="10" t="s">
        <v>29</v>
      </c>
      <c r="D35" s="10" t="s">
        <v>26</v>
      </c>
      <c r="E35" s="10">
        <v>19</v>
      </c>
      <c r="F35" s="10">
        <v>2660</v>
      </c>
      <c r="G35" s="10">
        <v>51608</v>
      </c>
      <c r="H35" s="10">
        <v>1068</v>
      </c>
      <c r="I35" s="10">
        <v>7990</v>
      </c>
      <c r="J35" s="10" t="s">
        <v>45</v>
      </c>
    </row>
    <row r="36" spans="1:10" x14ac:dyDescent="0.3">
      <c r="A36" s="10" t="s">
        <v>12</v>
      </c>
      <c r="B36" s="10" t="s">
        <v>15</v>
      </c>
      <c r="C36" s="10" t="s">
        <v>31</v>
      </c>
      <c r="D36" s="10" t="s">
        <v>26</v>
      </c>
      <c r="E36" s="10">
        <v>4</v>
      </c>
      <c r="F36" s="10">
        <v>697</v>
      </c>
      <c r="G36" s="10">
        <v>4237</v>
      </c>
      <c r="H36" s="10">
        <v>1449</v>
      </c>
      <c r="I36" s="10">
        <v>9531</v>
      </c>
      <c r="J36" s="10" t="s">
        <v>46</v>
      </c>
    </row>
    <row r="37" spans="1:10" x14ac:dyDescent="0.3">
      <c r="A37" s="10" t="s">
        <v>12</v>
      </c>
      <c r="B37" s="10" t="s">
        <v>14</v>
      </c>
      <c r="C37" s="10" t="s">
        <v>30</v>
      </c>
      <c r="D37" s="10" t="s">
        <v>22</v>
      </c>
      <c r="E37" s="10">
        <v>15</v>
      </c>
      <c r="F37" s="10">
        <v>521</v>
      </c>
      <c r="G37" s="10">
        <v>9294</v>
      </c>
      <c r="H37" s="10">
        <v>1479</v>
      </c>
      <c r="I37" s="10">
        <v>11353</v>
      </c>
      <c r="J37" s="10" t="s">
        <v>46</v>
      </c>
    </row>
    <row r="38" spans="1:10" x14ac:dyDescent="0.3">
      <c r="A38" s="10" t="s">
        <v>8</v>
      </c>
      <c r="B38" s="10" t="s">
        <v>16</v>
      </c>
      <c r="C38" s="10" t="s">
        <v>28</v>
      </c>
      <c r="D38" s="10" t="s">
        <v>22</v>
      </c>
      <c r="E38" s="10">
        <v>11</v>
      </c>
      <c r="F38" s="10">
        <v>747</v>
      </c>
      <c r="G38" s="10">
        <v>8826</v>
      </c>
      <c r="H38" s="10">
        <v>609</v>
      </c>
      <c r="I38" s="10">
        <v>7569</v>
      </c>
      <c r="J38" s="10" t="s">
        <v>43</v>
      </c>
    </row>
    <row r="39" spans="1:10" x14ac:dyDescent="0.3">
      <c r="A39" s="10" t="s">
        <v>11</v>
      </c>
      <c r="B39" s="10" t="s">
        <v>13</v>
      </c>
      <c r="C39" s="10" t="s">
        <v>29</v>
      </c>
      <c r="D39" s="10" t="s">
        <v>22</v>
      </c>
      <c r="E39" s="10">
        <v>5</v>
      </c>
      <c r="F39" s="10">
        <v>2028</v>
      </c>
      <c r="G39" s="10">
        <v>10615</v>
      </c>
      <c r="H39" s="10">
        <v>475</v>
      </c>
      <c r="I39" s="10">
        <v>8281</v>
      </c>
      <c r="J39" s="10" t="s">
        <v>45</v>
      </c>
    </row>
    <row r="40" spans="1:10" x14ac:dyDescent="0.3">
      <c r="A40" s="10" t="s">
        <v>10</v>
      </c>
      <c r="B40" s="10" t="s">
        <v>15</v>
      </c>
      <c r="C40" s="10" t="s">
        <v>31</v>
      </c>
      <c r="D40" s="10" t="s">
        <v>24</v>
      </c>
      <c r="E40" s="10">
        <v>15</v>
      </c>
      <c r="F40" s="10">
        <v>2554</v>
      </c>
      <c r="G40" s="10">
        <v>38610</v>
      </c>
      <c r="H40" s="10">
        <v>300</v>
      </c>
      <c r="I40" s="10">
        <v>6414</v>
      </c>
      <c r="J40" s="10" t="s">
        <v>45</v>
      </c>
    </row>
    <row r="41" spans="1:10" x14ac:dyDescent="0.3">
      <c r="A41" s="10" t="s">
        <v>8</v>
      </c>
      <c r="B41" s="10" t="s">
        <v>16</v>
      </c>
      <c r="C41" s="10" t="s">
        <v>19</v>
      </c>
      <c r="D41" s="10" t="s">
        <v>26</v>
      </c>
      <c r="E41" s="10">
        <v>6</v>
      </c>
      <c r="F41" s="10">
        <v>1964</v>
      </c>
      <c r="G41" s="10">
        <v>12878</v>
      </c>
      <c r="H41" s="10">
        <v>1094</v>
      </c>
      <c r="I41" s="10">
        <v>9943</v>
      </c>
      <c r="J41" s="10" t="s">
        <v>43</v>
      </c>
    </row>
    <row r="42" spans="1:10" x14ac:dyDescent="0.3">
      <c r="A42" s="10" t="s">
        <v>12</v>
      </c>
      <c r="B42" s="10" t="s">
        <v>13</v>
      </c>
      <c r="C42" s="10" t="s">
        <v>29</v>
      </c>
      <c r="D42" s="10" t="s">
        <v>24</v>
      </c>
      <c r="E42" s="10">
        <v>6</v>
      </c>
      <c r="F42" s="10">
        <v>1852</v>
      </c>
      <c r="G42" s="10">
        <v>11216</v>
      </c>
      <c r="H42" s="10">
        <v>104</v>
      </c>
      <c r="I42" s="10">
        <v>9198</v>
      </c>
      <c r="J42" s="10" t="s">
        <v>46</v>
      </c>
    </row>
    <row r="43" spans="1:10" x14ac:dyDescent="0.3">
      <c r="A43" s="10" t="s">
        <v>12</v>
      </c>
      <c r="B43" s="10" t="s">
        <v>14</v>
      </c>
      <c r="C43" s="10" t="s">
        <v>18</v>
      </c>
      <c r="D43" s="10" t="s">
        <v>23</v>
      </c>
      <c r="E43" s="10">
        <v>14</v>
      </c>
      <c r="F43" s="10">
        <v>2576</v>
      </c>
      <c r="G43" s="10">
        <v>37519</v>
      </c>
      <c r="H43" s="10">
        <v>1455</v>
      </c>
      <c r="I43" s="10">
        <v>11885</v>
      </c>
      <c r="J43" s="10" t="s">
        <v>47</v>
      </c>
    </row>
    <row r="44" spans="1:10" x14ac:dyDescent="0.3">
      <c r="A44" s="10" t="s">
        <v>10</v>
      </c>
      <c r="B44" s="10" t="s">
        <v>15</v>
      </c>
      <c r="C44" s="10" t="s">
        <v>31</v>
      </c>
      <c r="D44" s="10" t="s">
        <v>26</v>
      </c>
      <c r="E44" s="10">
        <v>10</v>
      </c>
      <c r="F44" s="10">
        <v>1191</v>
      </c>
      <c r="G44" s="10">
        <v>12129</v>
      </c>
      <c r="H44" s="10">
        <v>219</v>
      </c>
      <c r="I44" s="10">
        <v>10744</v>
      </c>
      <c r="J44" s="10" t="s">
        <v>43</v>
      </c>
    </row>
    <row r="45" spans="1:10" x14ac:dyDescent="0.3">
      <c r="A45" s="10" t="s">
        <v>9</v>
      </c>
      <c r="B45" s="10" t="s">
        <v>16</v>
      </c>
      <c r="C45" s="10" t="s">
        <v>19</v>
      </c>
      <c r="D45" s="10" t="s">
        <v>24</v>
      </c>
      <c r="E45" s="10">
        <v>2</v>
      </c>
      <c r="F45" s="10">
        <v>2692</v>
      </c>
      <c r="G45" s="10">
        <v>6460</v>
      </c>
      <c r="H45" s="10">
        <v>1076</v>
      </c>
      <c r="I45" s="10">
        <v>10119</v>
      </c>
      <c r="J45" s="10" t="s">
        <v>46</v>
      </c>
    </row>
    <row r="46" spans="1:10" x14ac:dyDescent="0.3">
      <c r="A46" s="10" t="s">
        <v>8</v>
      </c>
      <c r="B46" s="10" t="s">
        <v>13</v>
      </c>
      <c r="C46" s="10" t="s">
        <v>20</v>
      </c>
      <c r="D46" s="10" t="s">
        <v>21</v>
      </c>
      <c r="E46" s="10">
        <v>3</v>
      </c>
      <c r="F46" s="10">
        <v>1061</v>
      </c>
      <c r="G46" s="10">
        <v>3423</v>
      </c>
      <c r="H46" s="10">
        <v>240</v>
      </c>
      <c r="I46" s="10">
        <v>10874</v>
      </c>
      <c r="J46" s="10" t="s">
        <v>44</v>
      </c>
    </row>
    <row r="47" spans="1:10" x14ac:dyDescent="0.3">
      <c r="A47" s="10" t="s">
        <v>10</v>
      </c>
      <c r="B47" s="10" t="s">
        <v>16</v>
      </c>
      <c r="C47" s="10" t="s">
        <v>28</v>
      </c>
      <c r="D47" s="10" t="s">
        <v>22</v>
      </c>
      <c r="E47" s="10">
        <v>4</v>
      </c>
      <c r="F47" s="10">
        <v>2633</v>
      </c>
      <c r="G47" s="10">
        <v>11136</v>
      </c>
      <c r="H47" s="10">
        <v>604</v>
      </c>
      <c r="I47" s="10">
        <v>10742</v>
      </c>
      <c r="J47" s="10" t="s">
        <v>43</v>
      </c>
    </row>
    <row r="48" spans="1:10" x14ac:dyDescent="0.3">
      <c r="A48" s="10" t="s">
        <v>11</v>
      </c>
      <c r="B48" s="10" t="s">
        <v>16</v>
      </c>
      <c r="C48" s="10" t="s">
        <v>19</v>
      </c>
      <c r="D48" s="10" t="s">
        <v>24</v>
      </c>
      <c r="E48" s="10">
        <v>14</v>
      </c>
      <c r="F48" s="10">
        <v>2992</v>
      </c>
      <c r="G48" s="10">
        <v>43183</v>
      </c>
      <c r="H48" s="10">
        <v>1295</v>
      </c>
      <c r="I48" s="10">
        <v>10630</v>
      </c>
      <c r="J48" s="10" t="s">
        <v>44</v>
      </c>
    </row>
    <row r="49" spans="1:10" x14ac:dyDescent="0.3">
      <c r="A49" s="10" t="s">
        <v>9</v>
      </c>
      <c r="B49" s="10" t="s">
        <v>14</v>
      </c>
      <c r="C49" s="10" t="s">
        <v>30</v>
      </c>
      <c r="D49" s="10" t="s">
        <v>26</v>
      </c>
      <c r="E49" s="10">
        <v>11</v>
      </c>
      <c r="F49" s="10">
        <v>1277</v>
      </c>
      <c r="G49" s="10">
        <v>14690</v>
      </c>
      <c r="H49" s="10">
        <v>643</v>
      </c>
      <c r="I49" s="10">
        <v>9242</v>
      </c>
      <c r="J49" s="10" t="s">
        <v>46</v>
      </c>
    </row>
    <row r="50" spans="1:10" x14ac:dyDescent="0.3">
      <c r="A50" s="10" t="s">
        <v>9</v>
      </c>
      <c r="B50" s="10" t="s">
        <v>13</v>
      </c>
      <c r="C50" s="10" t="s">
        <v>20</v>
      </c>
      <c r="D50" s="10" t="s">
        <v>22</v>
      </c>
      <c r="E50" s="10">
        <v>11</v>
      </c>
      <c r="F50" s="10">
        <v>597</v>
      </c>
      <c r="G50" s="10">
        <v>6686</v>
      </c>
      <c r="H50" s="10">
        <v>119</v>
      </c>
      <c r="I50" s="10">
        <v>9754</v>
      </c>
      <c r="J50" s="10" t="s">
        <v>45</v>
      </c>
    </row>
    <row r="51" spans="1:10" x14ac:dyDescent="0.3">
      <c r="A51" s="10" t="s">
        <v>8</v>
      </c>
      <c r="B51" s="10" t="s">
        <v>16</v>
      </c>
      <c r="C51" s="10" t="s">
        <v>28</v>
      </c>
      <c r="D51" s="10" t="s">
        <v>21</v>
      </c>
      <c r="E51" s="10">
        <v>7</v>
      </c>
      <c r="F51" s="10">
        <v>2372</v>
      </c>
      <c r="G51" s="10">
        <v>17247</v>
      </c>
      <c r="H51" s="10">
        <v>643</v>
      </c>
      <c r="I51" s="10">
        <v>7085</v>
      </c>
      <c r="J51" s="10" t="s">
        <v>43</v>
      </c>
    </row>
    <row r="52" spans="1:10" x14ac:dyDescent="0.3">
      <c r="A52" s="10" t="s">
        <v>8</v>
      </c>
      <c r="B52" s="10" t="s">
        <v>14</v>
      </c>
      <c r="C52" s="10" t="s">
        <v>30</v>
      </c>
      <c r="D52" s="10" t="s">
        <v>26</v>
      </c>
      <c r="E52" s="10">
        <v>12</v>
      </c>
      <c r="F52" s="10">
        <v>1467</v>
      </c>
      <c r="G52" s="10">
        <v>18027</v>
      </c>
      <c r="H52" s="10">
        <v>423</v>
      </c>
      <c r="I52" s="10">
        <v>9589</v>
      </c>
      <c r="J52" s="10" t="s">
        <v>43</v>
      </c>
    </row>
    <row r="53" spans="1:10" x14ac:dyDescent="0.3">
      <c r="A53" s="10" t="s">
        <v>11</v>
      </c>
      <c r="B53" s="10" t="s">
        <v>14</v>
      </c>
      <c r="C53" s="10" t="s">
        <v>18</v>
      </c>
      <c r="D53" s="10" t="s">
        <v>25</v>
      </c>
      <c r="E53" s="10">
        <v>17</v>
      </c>
      <c r="F53" s="10">
        <v>332</v>
      </c>
      <c r="G53" s="10">
        <v>7111</v>
      </c>
      <c r="H53" s="10">
        <v>1467</v>
      </c>
      <c r="I53" s="10">
        <v>10543</v>
      </c>
      <c r="J53" s="10" t="s">
        <v>45</v>
      </c>
    </row>
    <row r="54" spans="1:10" x14ac:dyDescent="0.3">
      <c r="A54" s="10" t="s">
        <v>8</v>
      </c>
      <c r="B54" s="10" t="s">
        <v>14</v>
      </c>
      <c r="C54" s="10" t="s">
        <v>18</v>
      </c>
      <c r="D54" s="10" t="s">
        <v>26</v>
      </c>
      <c r="E54" s="10">
        <v>9</v>
      </c>
      <c r="F54" s="10">
        <v>772</v>
      </c>
      <c r="G54" s="10">
        <v>8870</v>
      </c>
      <c r="H54" s="10">
        <v>1922</v>
      </c>
      <c r="I54" s="10">
        <v>6876</v>
      </c>
      <c r="J54" s="10" t="s">
        <v>44</v>
      </c>
    </row>
    <row r="55" spans="1:10" x14ac:dyDescent="0.3">
      <c r="A55" s="10" t="s">
        <v>9</v>
      </c>
      <c r="B55" s="10" t="s">
        <v>13</v>
      </c>
      <c r="C55" s="10" t="s">
        <v>20</v>
      </c>
      <c r="D55" s="10" t="s">
        <v>23</v>
      </c>
      <c r="E55" s="10">
        <v>20</v>
      </c>
      <c r="F55" s="10">
        <v>1162</v>
      </c>
      <c r="G55" s="10">
        <v>24809</v>
      </c>
      <c r="H55" s="10">
        <v>1569</v>
      </c>
      <c r="I55" s="10">
        <v>8808</v>
      </c>
      <c r="J55" s="10" t="s">
        <v>45</v>
      </c>
    </row>
    <row r="56" spans="1:10" x14ac:dyDescent="0.3">
      <c r="A56" s="10" t="s">
        <v>9</v>
      </c>
      <c r="B56" s="10" t="s">
        <v>13</v>
      </c>
      <c r="C56" s="10" t="s">
        <v>29</v>
      </c>
      <c r="D56" s="10" t="s">
        <v>21</v>
      </c>
      <c r="E56" s="10">
        <v>16</v>
      </c>
      <c r="F56" s="10">
        <v>1328</v>
      </c>
      <c r="G56" s="10">
        <v>23202</v>
      </c>
      <c r="H56" s="10">
        <v>1954</v>
      </c>
      <c r="I56" s="10">
        <v>6416</v>
      </c>
      <c r="J56" s="10" t="s">
        <v>46</v>
      </c>
    </row>
    <row r="57" spans="1:10" x14ac:dyDescent="0.3">
      <c r="A57" s="10" t="s">
        <v>12</v>
      </c>
      <c r="B57" s="10" t="s">
        <v>16</v>
      </c>
      <c r="C57" s="10" t="s">
        <v>28</v>
      </c>
      <c r="D57" s="10" t="s">
        <v>23</v>
      </c>
      <c r="E57" s="10">
        <v>2</v>
      </c>
      <c r="F57" s="10">
        <v>314</v>
      </c>
      <c r="G57" s="10">
        <v>1411</v>
      </c>
      <c r="H57" s="10">
        <v>783</v>
      </c>
      <c r="I57" s="10">
        <v>7071</v>
      </c>
      <c r="J57" s="10" t="s">
        <v>47</v>
      </c>
    </row>
    <row r="58" spans="1:10" x14ac:dyDescent="0.3">
      <c r="A58" s="10" t="s">
        <v>10</v>
      </c>
      <c r="B58" s="10" t="s">
        <v>14</v>
      </c>
      <c r="C58" s="10" t="s">
        <v>18</v>
      </c>
      <c r="D58" s="10" t="s">
        <v>25</v>
      </c>
      <c r="E58" s="10">
        <v>15</v>
      </c>
      <c r="F58" s="10">
        <v>2559</v>
      </c>
      <c r="G58" s="10">
        <v>39930</v>
      </c>
      <c r="H58" s="10">
        <v>1545</v>
      </c>
      <c r="I58" s="10">
        <v>9503</v>
      </c>
      <c r="J58" s="10" t="s">
        <v>45</v>
      </c>
    </row>
    <row r="59" spans="1:10" x14ac:dyDescent="0.3">
      <c r="A59" s="10" t="s">
        <v>8</v>
      </c>
      <c r="B59" s="10" t="s">
        <v>16</v>
      </c>
      <c r="C59" s="10" t="s">
        <v>19</v>
      </c>
      <c r="D59" s="10" t="s">
        <v>24</v>
      </c>
      <c r="E59" s="10">
        <v>5</v>
      </c>
      <c r="F59" s="10">
        <v>2534</v>
      </c>
      <c r="G59" s="10">
        <v>12843</v>
      </c>
      <c r="H59" s="10">
        <v>173</v>
      </c>
      <c r="I59" s="10">
        <v>9024</v>
      </c>
      <c r="J59" s="10" t="s">
        <v>44</v>
      </c>
    </row>
    <row r="60" spans="1:10" x14ac:dyDescent="0.3">
      <c r="A60" s="10" t="s">
        <v>12</v>
      </c>
      <c r="B60" s="10" t="s">
        <v>13</v>
      </c>
      <c r="C60" s="10" t="s">
        <v>20</v>
      </c>
      <c r="D60" s="10" t="s">
        <v>26</v>
      </c>
      <c r="E60" s="10">
        <v>2</v>
      </c>
      <c r="F60" s="10">
        <v>1562</v>
      </c>
      <c r="G60" s="10">
        <v>3970</v>
      </c>
      <c r="H60" s="10">
        <v>846</v>
      </c>
      <c r="I60" s="10">
        <v>6326</v>
      </c>
      <c r="J60" s="10" t="s">
        <v>46</v>
      </c>
    </row>
    <row r="61" spans="1:10" x14ac:dyDescent="0.3">
      <c r="A61" s="10" t="s">
        <v>10</v>
      </c>
      <c r="B61" s="10" t="s">
        <v>14</v>
      </c>
      <c r="C61" s="10" t="s">
        <v>30</v>
      </c>
      <c r="D61" s="10" t="s">
        <v>25</v>
      </c>
      <c r="E61" s="10">
        <v>8</v>
      </c>
      <c r="F61" s="10">
        <v>721</v>
      </c>
      <c r="G61" s="10">
        <v>6592</v>
      </c>
      <c r="H61" s="10">
        <v>824</v>
      </c>
      <c r="I61" s="10">
        <v>10586</v>
      </c>
      <c r="J61" s="10" t="s">
        <v>45</v>
      </c>
    </row>
    <row r="62" spans="1:10" x14ac:dyDescent="0.3">
      <c r="A62" s="10" t="s">
        <v>11</v>
      </c>
      <c r="B62" s="10" t="s">
        <v>15</v>
      </c>
      <c r="C62" s="10" t="s">
        <v>17</v>
      </c>
      <c r="D62" s="10" t="s">
        <v>25</v>
      </c>
      <c r="E62" s="10">
        <v>5</v>
      </c>
      <c r="F62" s="10">
        <v>1269</v>
      </c>
      <c r="G62" s="10">
        <v>8215</v>
      </c>
      <c r="H62" s="10">
        <v>1870</v>
      </c>
      <c r="I62" s="10">
        <v>7331</v>
      </c>
      <c r="J62" s="10" t="s">
        <v>44</v>
      </c>
    </row>
    <row r="63" spans="1:10" x14ac:dyDescent="0.3">
      <c r="A63" s="10" t="s">
        <v>12</v>
      </c>
      <c r="B63" s="10" t="s">
        <v>13</v>
      </c>
      <c r="C63" s="10" t="s">
        <v>20</v>
      </c>
      <c r="D63" s="10" t="s">
        <v>24</v>
      </c>
      <c r="E63" s="10">
        <v>6</v>
      </c>
      <c r="F63" s="10">
        <v>1660</v>
      </c>
      <c r="G63" s="10">
        <v>11662</v>
      </c>
      <c r="H63" s="10">
        <v>1702</v>
      </c>
      <c r="I63" s="10">
        <v>9372</v>
      </c>
      <c r="J63" s="10" t="s">
        <v>46</v>
      </c>
    </row>
    <row r="64" spans="1:10" x14ac:dyDescent="0.3">
      <c r="A64" s="10" t="s">
        <v>9</v>
      </c>
      <c r="B64" s="10" t="s">
        <v>13</v>
      </c>
      <c r="C64" s="10" t="s">
        <v>29</v>
      </c>
      <c r="D64" s="10" t="s">
        <v>26</v>
      </c>
      <c r="E64" s="10">
        <v>4</v>
      </c>
      <c r="F64" s="10">
        <v>1866</v>
      </c>
      <c r="G64" s="10">
        <v>9350</v>
      </c>
      <c r="H64" s="10">
        <v>1886</v>
      </c>
      <c r="I64" s="10">
        <v>6317</v>
      </c>
      <c r="J64" s="10" t="s">
        <v>46</v>
      </c>
    </row>
    <row r="65" spans="1:10" x14ac:dyDescent="0.3">
      <c r="A65" s="10" t="s">
        <v>10</v>
      </c>
      <c r="B65" s="10" t="s">
        <v>15</v>
      </c>
      <c r="C65" s="10" t="s">
        <v>31</v>
      </c>
      <c r="D65" s="10" t="s">
        <v>26</v>
      </c>
      <c r="E65" s="10">
        <v>15</v>
      </c>
      <c r="F65" s="10">
        <v>1732</v>
      </c>
      <c r="G65" s="10">
        <v>26705</v>
      </c>
      <c r="H65" s="10">
        <v>725</v>
      </c>
      <c r="I65" s="10">
        <v>7864</v>
      </c>
      <c r="J65" s="10" t="s">
        <v>43</v>
      </c>
    </row>
    <row r="66" spans="1:10" x14ac:dyDescent="0.3">
      <c r="A66" s="10" t="s">
        <v>8</v>
      </c>
      <c r="B66" s="10" t="s">
        <v>13</v>
      </c>
      <c r="C66" s="10" t="s">
        <v>29</v>
      </c>
      <c r="D66" s="10" t="s">
        <v>25</v>
      </c>
      <c r="E66" s="10">
        <v>7</v>
      </c>
      <c r="F66" s="10">
        <v>1932</v>
      </c>
      <c r="G66" s="10">
        <v>14296</v>
      </c>
      <c r="H66" s="10">
        <v>772</v>
      </c>
      <c r="I66" s="10">
        <v>8282</v>
      </c>
      <c r="J66" s="10" t="s">
        <v>43</v>
      </c>
    </row>
    <row r="67" spans="1:10" x14ac:dyDescent="0.3">
      <c r="A67" s="10" t="s">
        <v>9</v>
      </c>
      <c r="B67" s="10" t="s">
        <v>16</v>
      </c>
      <c r="C67" s="10" t="s">
        <v>28</v>
      </c>
      <c r="D67" s="10" t="s">
        <v>23</v>
      </c>
      <c r="E67" s="10">
        <v>17</v>
      </c>
      <c r="F67" s="10">
        <v>1937</v>
      </c>
      <c r="G67" s="10">
        <v>34420</v>
      </c>
      <c r="H67" s="10">
        <v>1491</v>
      </c>
      <c r="I67" s="10">
        <v>10392</v>
      </c>
      <c r="J67" s="10" t="s">
        <v>46</v>
      </c>
    </row>
    <row r="68" spans="1:10" x14ac:dyDescent="0.3">
      <c r="A68" s="10" t="s">
        <v>8</v>
      </c>
      <c r="B68" s="10" t="s">
        <v>14</v>
      </c>
      <c r="C68" s="10" t="s">
        <v>30</v>
      </c>
      <c r="D68" s="10" t="s">
        <v>24</v>
      </c>
      <c r="E68" s="10">
        <v>9</v>
      </c>
      <c r="F68" s="10">
        <v>1031</v>
      </c>
      <c r="G68" s="10">
        <v>10568</v>
      </c>
      <c r="H68" s="10">
        <v>1289</v>
      </c>
      <c r="I68" s="10">
        <v>8174</v>
      </c>
      <c r="J68" s="10" t="s">
        <v>44</v>
      </c>
    </row>
    <row r="69" spans="1:10" x14ac:dyDescent="0.3">
      <c r="A69" s="10" t="s">
        <v>8</v>
      </c>
      <c r="B69" s="10" t="s">
        <v>16</v>
      </c>
      <c r="C69" s="10" t="s">
        <v>19</v>
      </c>
      <c r="D69" s="10" t="s">
        <v>21</v>
      </c>
      <c r="E69" s="10">
        <v>14</v>
      </c>
      <c r="F69" s="10">
        <v>1715</v>
      </c>
      <c r="G69" s="10">
        <v>25602</v>
      </c>
      <c r="H69" s="10">
        <v>1592</v>
      </c>
      <c r="I69" s="10">
        <v>8569</v>
      </c>
      <c r="J69" s="10" t="s">
        <v>44</v>
      </c>
    </row>
    <row r="70" spans="1:10" x14ac:dyDescent="0.3">
      <c r="A70" s="10" t="s">
        <v>11</v>
      </c>
      <c r="B70" s="10" t="s">
        <v>15</v>
      </c>
      <c r="C70" s="10" t="s">
        <v>17</v>
      </c>
      <c r="D70" s="10" t="s">
        <v>21</v>
      </c>
      <c r="E70" s="10">
        <v>4</v>
      </c>
      <c r="F70" s="10">
        <v>1877</v>
      </c>
      <c r="G70" s="10">
        <v>9450</v>
      </c>
      <c r="H70" s="10">
        <v>1942</v>
      </c>
      <c r="I70" s="10">
        <v>10723</v>
      </c>
      <c r="J70" s="10" t="s">
        <v>44</v>
      </c>
    </row>
    <row r="71" spans="1:10" x14ac:dyDescent="0.3">
      <c r="A71" s="10" t="s">
        <v>9</v>
      </c>
      <c r="B71" s="10" t="s">
        <v>13</v>
      </c>
      <c r="C71" s="10" t="s">
        <v>29</v>
      </c>
      <c r="D71" s="10" t="s">
        <v>24</v>
      </c>
      <c r="E71" s="10">
        <v>14</v>
      </c>
      <c r="F71" s="10">
        <v>306</v>
      </c>
      <c r="G71" s="10">
        <v>5448</v>
      </c>
      <c r="H71" s="10">
        <v>1164</v>
      </c>
      <c r="I71" s="10">
        <v>10410</v>
      </c>
      <c r="J71" s="10" t="s">
        <v>45</v>
      </c>
    </row>
    <row r="72" spans="1:10" x14ac:dyDescent="0.3">
      <c r="A72" s="10" t="s">
        <v>9</v>
      </c>
      <c r="B72" s="10" t="s">
        <v>13</v>
      </c>
      <c r="C72" s="10" t="s">
        <v>29</v>
      </c>
      <c r="D72" s="10" t="s">
        <v>22</v>
      </c>
      <c r="E72" s="10">
        <v>3</v>
      </c>
      <c r="F72" s="10">
        <v>1652</v>
      </c>
      <c r="G72" s="10">
        <v>6332</v>
      </c>
      <c r="H72" s="10">
        <v>1376</v>
      </c>
      <c r="I72" s="10">
        <v>8571</v>
      </c>
      <c r="J72" s="10" t="s">
        <v>45</v>
      </c>
    </row>
    <row r="73" spans="1:10" x14ac:dyDescent="0.3">
      <c r="A73" s="10" t="s">
        <v>9</v>
      </c>
      <c r="B73" s="10" t="s">
        <v>16</v>
      </c>
      <c r="C73" s="10" t="s">
        <v>28</v>
      </c>
      <c r="D73" s="10" t="s">
        <v>21</v>
      </c>
      <c r="E73" s="10">
        <v>10</v>
      </c>
      <c r="F73" s="10">
        <v>1972</v>
      </c>
      <c r="G73" s="10">
        <v>20488</v>
      </c>
      <c r="H73" s="10">
        <v>768</v>
      </c>
      <c r="I73" s="10">
        <v>9296</v>
      </c>
      <c r="J73" s="10" t="s">
        <v>46</v>
      </c>
    </row>
    <row r="74" spans="1:10" x14ac:dyDescent="0.3">
      <c r="A74" s="10" t="s">
        <v>11</v>
      </c>
      <c r="B74" s="10" t="s">
        <v>14</v>
      </c>
      <c r="C74" s="10" t="s">
        <v>18</v>
      </c>
      <c r="D74" s="10" t="s">
        <v>26</v>
      </c>
      <c r="E74" s="10">
        <v>7</v>
      </c>
      <c r="F74" s="10">
        <v>2022</v>
      </c>
      <c r="G74" s="10">
        <v>15615</v>
      </c>
      <c r="H74" s="10">
        <v>1461</v>
      </c>
      <c r="I74" s="10">
        <v>9105</v>
      </c>
      <c r="J74" s="10" t="s">
        <v>44</v>
      </c>
    </row>
    <row r="75" spans="1:10" x14ac:dyDescent="0.3">
      <c r="A75" s="10" t="s">
        <v>11</v>
      </c>
      <c r="B75" s="10" t="s">
        <v>13</v>
      </c>
      <c r="C75" s="10" t="s">
        <v>20</v>
      </c>
      <c r="D75" s="10" t="s">
        <v>21</v>
      </c>
      <c r="E75" s="10">
        <v>10</v>
      </c>
      <c r="F75" s="10">
        <v>1963</v>
      </c>
      <c r="G75" s="10">
        <v>20852</v>
      </c>
      <c r="H75" s="10">
        <v>1222</v>
      </c>
      <c r="I75" s="10">
        <v>6003</v>
      </c>
      <c r="J75" s="10" t="s">
        <v>44</v>
      </c>
    </row>
    <row r="76" spans="1:10" x14ac:dyDescent="0.3">
      <c r="A76" s="10" t="s">
        <v>9</v>
      </c>
      <c r="B76" s="10" t="s">
        <v>14</v>
      </c>
      <c r="C76" s="10" t="s">
        <v>18</v>
      </c>
      <c r="D76" s="10" t="s">
        <v>26</v>
      </c>
      <c r="E76" s="10">
        <v>14</v>
      </c>
      <c r="F76" s="10">
        <v>2675</v>
      </c>
      <c r="G76" s="10">
        <v>38792</v>
      </c>
      <c r="H76" s="10">
        <v>1342</v>
      </c>
      <c r="I76" s="10">
        <v>11363</v>
      </c>
      <c r="J76" s="10" t="s">
        <v>46</v>
      </c>
    </row>
    <row r="77" spans="1:10" x14ac:dyDescent="0.3">
      <c r="A77" s="10" t="s">
        <v>12</v>
      </c>
      <c r="B77" s="10" t="s">
        <v>14</v>
      </c>
      <c r="C77" s="10" t="s">
        <v>30</v>
      </c>
      <c r="D77" s="10" t="s">
        <v>22</v>
      </c>
      <c r="E77" s="10">
        <v>15</v>
      </c>
      <c r="F77" s="10">
        <v>1175</v>
      </c>
      <c r="G77" s="10">
        <v>18771</v>
      </c>
      <c r="H77" s="10">
        <v>1146</v>
      </c>
      <c r="I77" s="10">
        <v>9876</v>
      </c>
      <c r="J77" s="10" t="s">
        <v>46</v>
      </c>
    </row>
    <row r="78" spans="1:10" x14ac:dyDescent="0.3">
      <c r="A78" s="10" t="s">
        <v>8</v>
      </c>
      <c r="B78" s="10" t="s">
        <v>13</v>
      </c>
      <c r="C78" s="10" t="s">
        <v>20</v>
      </c>
      <c r="D78" s="10" t="s">
        <v>23</v>
      </c>
      <c r="E78" s="10">
        <v>17</v>
      </c>
      <c r="F78" s="10">
        <v>2892</v>
      </c>
      <c r="G78" s="10">
        <v>50532</v>
      </c>
      <c r="H78" s="10">
        <v>1368</v>
      </c>
      <c r="I78" s="10">
        <v>8745</v>
      </c>
      <c r="J78" s="10" t="s">
        <v>43</v>
      </c>
    </row>
    <row r="79" spans="1:10" x14ac:dyDescent="0.3">
      <c r="A79" s="10" t="s">
        <v>10</v>
      </c>
      <c r="B79" s="10" t="s">
        <v>16</v>
      </c>
      <c r="C79" s="10" t="s">
        <v>28</v>
      </c>
      <c r="D79" s="10" t="s">
        <v>25</v>
      </c>
      <c r="E79" s="10">
        <v>10</v>
      </c>
      <c r="F79" s="10">
        <v>1220</v>
      </c>
      <c r="G79" s="10">
        <v>13951</v>
      </c>
      <c r="H79" s="10">
        <v>1751</v>
      </c>
      <c r="I79" s="10">
        <v>7631</v>
      </c>
      <c r="J79" s="10" t="s">
        <v>43</v>
      </c>
    </row>
    <row r="80" spans="1:10" x14ac:dyDescent="0.3">
      <c r="A80" s="10" t="s">
        <v>8</v>
      </c>
      <c r="B80" s="10" t="s">
        <v>13</v>
      </c>
      <c r="C80" s="10" t="s">
        <v>20</v>
      </c>
      <c r="D80" s="10" t="s">
        <v>24</v>
      </c>
      <c r="E80" s="10">
        <v>8</v>
      </c>
      <c r="F80" s="10">
        <v>2246</v>
      </c>
      <c r="G80" s="10">
        <v>19319</v>
      </c>
      <c r="H80" s="10">
        <v>1351</v>
      </c>
      <c r="I80" s="10">
        <v>6596</v>
      </c>
      <c r="J80" s="10" t="s">
        <v>43</v>
      </c>
    </row>
    <row r="81" spans="1:10" x14ac:dyDescent="0.3">
      <c r="A81" s="10" t="s">
        <v>12</v>
      </c>
      <c r="B81" s="10" t="s">
        <v>15</v>
      </c>
      <c r="C81" s="10" t="s">
        <v>31</v>
      </c>
      <c r="D81" s="10" t="s">
        <v>25</v>
      </c>
      <c r="E81" s="10">
        <v>19</v>
      </c>
      <c r="F81" s="10">
        <v>1096</v>
      </c>
      <c r="G81" s="10">
        <v>22395</v>
      </c>
      <c r="H81" s="10">
        <v>1571</v>
      </c>
      <c r="I81" s="10">
        <v>11704</v>
      </c>
      <c r="J81" s="10" t="s">
        <v>46</v>
      </c>
    </row>
    <row r="82" spans="1:10" x14ac:dyDescent="0.3">
      <c r="A82" s="10" t="s">
        <v>12</v>
      </c>
      <c r="B82" s="10" t="s">
        <v>15</v>
      </c>
      <c r="C82" s="10" t="s">
        <v>17</v>
      </c>
      <c r="D82" s="10" t="s">
        <v>22</v>
      </c>
      <c r="E82" s="10">
        <v>8</v>
      </c>
      <c r="F82" s="10">
        <v>904</v>
      </c>
      <c r="G82" s="10">
        <v>8675</v>
      </c>
      <c r="H82" s="10">
        <v>1443</v>
      </c>
      <c r="I82" s="10">
        <v>11633</v>
      </c>
      <c r="J82" s="10" t="s">
        <v>46</v>
      </c>
    </row>
    <row r="83" spans="1:10" x14ac:dyDescent="0.3">
      <c r="A83" s="10" t="s">
        <v>8</v>
      </c>
      <c r="B83" s="10" t="s">
        <v>16</v>
      </c>
      <c r="C83" s="10" t="s">
        <v>19</v>
      </c>
      <c r="D83" s="10" t="s">
        <v>22</v>
      </c>
      <c r="E83" s="10">
        <v>8</v>
      </c>
      <c r="F83" s="10">
        <v>1020</v>
      </c>
      <c r="G83" s="10">
        <v>9906</v>
      </c>
      <c r="H83" s="10">
        <v>1746</v>
      </c>
      <c r="I83" s="10">
        <v>11700</v>
      </c>
      <c r="J83" s="10" t="s">
        <v>44</v>
      </c>
    </row>
    <row r="84" spans="1:10" x14ac:dyDescent="0.3">
      <c r="A84" s="10" t="s">
        <v>8</v>
      </c>
      <c r="B84" s="10" t="s">
        <v>15</v>
      </c>
      <c r="C84" s="10" t="s">
        <v>31</v>
      </c>
      <c r="D84" s="10" t="s">
        <v>21</v>
      </c>
      <c r="E84" s="10">
        <v>8</v>
      </c>
      <c r="F84" s="10">
        <v>797</v>
      </c>
      <c r="G84" s="10">
        <v>7410</v>
      </c>
      <c r="H84" s="10">
        <v>1034</v>
      </c>
      <c r="I84" s="10">
        <v>7092</v>
      </c>
      <c r="J84" s="10" t="s">
        <v>44</v>
      </c>
    </row>
    <row r="85" spans="1:10" x14ac:dyDescent="0.3">
      <c r="A85" s="10" t="s">
        <v>11</v>
      </c>
      <c r="B85" s="10" t="s">
        <v>15</v>
      </c>
      <c r="C85" s="10" t="s">
        <v>31</v>
      </c>
      <c r="D85" s="10" t="s">
        <v>21</v>
      </c>
      <c r="E85" s="10">
        <v>20</v>
      </c>
      <c r="F85" s="10">
        <v>1599</v>
      </c>
      <c r="G85" s="10">
        <v>33626</v>
      </c>
      <c r="H85" s="10">
        <v>1646</v>
      </c>
      <c r="I85" s="10">
        <v>9625</v>
      </c>
      <c r="J85" s="10" t="s">
        <v>44</v>
      </c>
    </row>
    <row r="86" spans="1:10" x14ac:dyDescent="0.3">
      <c r="A86" s="10" t="s">
        <v>11</v>
      </c>
      <c r="B86" s="10" t="s">
        <v>15</v>
      </c>
      <c r="C86" s="10" t="s">
        <v>17</v>
      </c>
      <c r="D86" s="10" t="s">
        <v>22</v>
      </c>
      <c r="E86" s="10">
        <v>6</v>
      </c>
      <c r="F86" s="10">
        <v>2244</v>
      </c>
      <c r="G86" s="10">
        <v>14485</v>
      </c>
      <c r="H86" s="10">
        <v>1021</v>
      </c>
      <c r="I86" s="10">
        <v>8123</v>
      </c>
      <c r="J86" s="10" t="s">
        <v>44</v>
      </c>
    </row>
    <row r="87" spans="1:10" x14ac:dyDescent="0.3">
      <c r="A87" s="10" t="s">
        <v>9</v>
      </c>
      <c r="B87" s="10" t="s">
        <v>13</v>
      </c>
      <c r="C87" s="10" t="s">
        <v>29</v>
      </c>
      <c r="D87" s="10" t="s">
        <v>21</v>
      </c>
      <c r="E87" s="10">
        <v>16</v>
      </c>
      <c r="F87" s="10">
        <v>2867</v>
      </c>
      <c r="G87" s="10">
        <v>46461</v>
      </c>
      <c r="H87" s="10">
        <v>589</v>
      </c>
      <c r="I87" s="10">
        <v>8249</v>
      </c>
      <c r="J87" s="10" t="s">
        <v>46</v>
      </c>
    </row>
    <row r="88" spans="1:10" x14ac:dyDescent="0.3">
      <c r="A88" s="10" t="s">
        <v>8</v>
      </c>
      <c r="B88" s="10" t="s">
        <v>15</v>
      </c>
      <c r="C88" s="10" t="s">
        <v>31</v>
      </c>
      <c r="D88" s="10" t="s">
        <v>25</v>
      </c>
      <c r="E88" s="10">
        <v>10</v>
      </c>
      <c r="F88" s="10">
        <v>1260</v>
      </c>
      <c r="G88" s="10">
        <v>13256</v>
      </c>
      <c r="H88" s="10">
        <v>656</v>
      </c>
      <c r="I88" s="10">
        <v>8751</v>
      </c>
      <c r="J88" s="10" t="s">
        <v>44</v>
      </c>
    </row>
    <row r="89" spans="1:10" x14ac:dyDescent="0.3">
      <c r="A89" s="10" t="s">
        <v>11</v>
      </c>
      <c r="B89" s="10" t="s">
        <v>14</v>
      </c>
      <c r="C89" s="10" t="s">
        <v>30</v>
      </c>
      <c r="D89" s="10" t="s">
        <v>24</v>
      </c>
      <c r="E89" s="10">
        <v>5</v>
      </c>
      <c r="F89" s="10">
        <v>917</v>
      </c>
      <c r="G89" s="10">
        <v>5158</v>
      </c>
      <c r="H89" s="10">
        <v>573</v>
      </c>
      <c r="I89" s="10">
        <v>9137</v>
      </c>
      <c r="J89" s="10" t="s">
        <v>45</v>
      </c>
    </row>
    <row r="90" spans="1:10" x14ac:dyDescent="0.3">
      <c r="A90" s="10" t="s">
        <v>10</v>
      </c>
      <c r="B90" s="10" t="s">
        <v>13</v>
      </c>
      <c r="C90" s="10" t="s">
        <v>20</v>
      </c>
      <c r="D90" s="10" t="s">
        <v>24</v>
      </c>
      <c r="E90" s="10">
        <v>14</v>
      </c>
      <c r="F90" s="10">
        <v>1969</v>
      </c>
      <c r="G90" s="10">
        <v>28343</v>
      </c>
      <c r="H90" s="10">
        <v>777</v>
      </c>
      <c r="I90" s="10">
        <v>10445</v>
      </c>
      <c r="J90" s="10" t="s">
        <v>45</v>
      </c>
    </row>
    <row r="91" spans="1:10" x14ac:dyDescent="0.3">
      <c r="A91" s="10" t="s">
        <v>12</v>
      </c>
      <c r="B91" s="10" t="s">
        <v>15</v>
      </c>
      <c r="C91" s="10" t="s">
        <v>31</v>
      </c>
      <c r="D91" s="10" t="s">
        <v>24</v>
      </c>
      <c r="E91" s="10">
        <v>7</v>
      </c>
      <c r="F91" s="10">
        <v>2020</v>
      </c>
      <c r="G91" s="10">
        <v>15037</v>
      </c>
      <c r="H91" s="10">
        <v>897</v>
      </c>
      <c r="I91" s="10">
        <v>10784</v>
      </c>
      <c r="J91" s="10" t="s">
        <v>47</v>
      </c>
    </row>
    <row r="92" spans="1:10" x14ac:dyDescent="0.3">
      <c r="A92" s="10" t="s">
        <v>11</v>
      </c>
      <c r="B92" s="10" t="s">
        <v>16</v>
      </c>
      <c r="C92" s="10" t="s">
        <v>19</v>
      </c>
      <c r="D92" s="10" t="s">
        <v>22</v>
      </c>
      <c r="E92" s="10">
        <v>16</v>
      </c>
      <c r="F92" s="10">
        <v>324</v>
      </c>
      <c r="G92" s="10">
        <v>6004</v>
      </c>
      <c r="H92" s="10">
        <v>820</v>
      </c>
      <c r="I92" s="10">
        <v>8446</v>
      </c>
      <c r="J92" s="10" t="s">
        <v>45</v>
      </c>
    </row>
    <row r="93" spans="1:10" x14ac:dyDescent="0.3">
      <c r="A93" s="10" t="s">
        <v>12</v>
      </c>
      <c r="B93" s="10" t="s">
        <v>15</v>
      </c>
      <c r="C93" s="10" t="s">
        <v>17</v>
      </c>
      <c r="D93" s="10" t="s">
        <v>21</v>
      </c>
      <c r="E93" s="10">
        <v>18</v>
      </c>
      <c r="F93" s="10">
        <v>2770</v>
      </c>
      <c r="G93" s="10">
        <v>51798</v>
      </c>
      <c r="H93" s="10">
        <v>1938</v>
      </c>
      <c r="I93" s="10">
        <v>7806</v>
      </c>
      <c r="J93" s="10" t="s">
        <v>46</v>
      </c>
    </row>
    <row r="94" spans="1:10" x14ac:dyDescent="0.3">
      <c r="A94" s="10" t="s">
        <v>10</v>
      </c>
      <c r="B94" s="10" t="s">
        <v>15</v>
      </c>
      <c r="C94" s="10" t="s">
        <v>31</v>
      </c>
      <c r="D94" s="10" t="s">
        <v>23</v>
      </c>
      <c r="E94" s="10">
        <v>14</v>
      </c>
      <c r="F94" s="10">
        <v>2289</v>
      </c>
      <c r="G94" s="10">
        <v>32205</v>
      </c>
      <c r="H94" s="10">
        <v>159</v>
      </c>
      <c r="I94" s="10">
        <v>9185</v>
      </c>
      <c r="J94" s="10" t="s">
        <v>45</v>
      </c>
    </row>
    <row r="95" spans="1:10" x14ac:dyDescent="0.3">
      <c r="A95" s="10" t="s">
        <v>12</v>
      </c>
      <c r="B95" s="10" t="s">
        <v>14</v>
      </c>
      <c r="C95" s="10" t="s">
        <v>30</v>
      </c>
      <c r="D95" s="10" t="s">
        <v>25</v>
      </c>
      <c r="E95" s="10">
        <v>6</v>
      </c>
      <c r="F95" s="10">
        <v>2214</v>
      </c>
      <c r="G95" s="10">
        <v>15267</v>
      </c>
      <c r="H95" s="10">
        <v>1983</v>
      </c>
      <c r="I95" s="10">
        <v>7045</v>
      </c>
      <c r="J95" s="10" t="s">
        <v>47</v>
      </c>
    </row>
    <row r="96" spans="1:10" x14ac:dyDescent="0.3">
      <c r="A96" s="10" t="s">
        <v>12</v>
      </c>
      <c r="B96" s="10" t="s">
        <v>16</v>
      </c>
      <c r="C96" s="10" t="s">
        <v>19</v>
      </c>
      <c r="D96" s="10" t="s">
        <v>21</v>
      </c>
      <c r="E96" s="10">
        <v>19</v>
      </c>
      <c r="F96" s="10">
        <v>411</v>
      </c>
      <c r="G96" s="10">
        <v>8080</v>
      </c>
      <c r="H96" s="10">
        <v>271</v>
      </c>
      <c r="I96" s="10">
        <v>11265</v>
      </c>
      <c r="J96" s="10" t="s">
        <v>47</v>
      </c>
    </row>
    <row r="97" spans="1:10" x14ac:dyDescent="0.3">
      <c r="A97" s="10" t="s">
        <v>10</v>
      </c>
      <c r="B97" s="10" t="s">
        <v>15</v>
      </c>
      <c r="C97" s="10" t="s">
        <v>17</v>
      </c>
      <c r="D97" s="10" t="s">
        <v>22</v>
      </c>
      <c r="E97" s="10">
        <v>6</v>
      </c>
      <c r="F97" s="10">
        <v>505</v>
      </c>
      <c r="G97" s="10">
        <v>3662</v>
      </c>
      <c r="H97" s="10">
        <v>632</v>
      </c>
      <c r="I97" s="10">
        <v>9105</v>
      </c>
      <c r="J97" s="10" t="s">
        <v>45</v>
      </c>
    </row>
    <row r="98" spans="1:10" x14ac:dyDescent="0.3">
      <c r="A98" s="10" t="s">
        <v>10</v>
      </c>
      <c r="B98" s="10" t="s">
        <v>14</v>
      </c>
      <c r="C98" s="10" t="s">
        <v>30</v>
      </c>
      <c r="D98" s="10" t="s">
        <v>22</v>
      </c>
      <c r="E98" s="10">
        <v>11</v>
      </c>
      <c r="F98" s="10">
        <v>1682</v>
      </c>
      <c r="G98" s="10">
        <v>20160</v>
      </c>
      <c r="H98" s="10">
        <v>1658</v>
      </c>
      <c r="I98" s="10">
        <v>9105</v>
      </c>
      <c r="J98" s="10" t="s">
        <v>45</v>
      </c>
    </row>
    <row r="99" spans="1:10" x14ac:dyDescent="0.3">
      <c r="A99" s="10" t="s">
        <v>12</v>
      </c>
      <c r="B99" s="10" t="s">
        <v>14</v>
      </c>
      <c r="C99" s="10" t="s">
        <v>18</v>
      </c>
      <c r="D99" s="10" t="s">
        <v>23</v>
      </c>
      <c r="E99" s="10">
        <v>3</v>
      </c>
      <c r="F99" s="10">
        <v>2226</v>
      </c>
      <c r="G99" s="10">
        <v>6817</v>
      </c>
      <c r="H99" s="10">
        <v>139</v>
      </c>
      <c r="I99" s="10">
        <v>10418</v>
      </c>
      <c r="J99" s="10" t="s">
        <v>46</v>
      </c>
    </row>
    <row r="100" spans="1:10" x14ac:dyDescent="0.3">
      <c r="A100" s="10" t="s">
        <v>9</v>
      </c>
      <c r="B100" s="10" t="s">
        <v>16</v>
      </c>
      <c r="C100" s="10" t="s">
        <v>19</v>
      </c>
      <c r="D100" s="10" t="s">
        <v>26</v>
      </c>
      <c r="E100" s="10">
        <v>3</v>
      </c>
      <c r="F100" s="10">
        <v>2969</v>
      </c>
      <c r="G100" s="10">
        <v>9089</v>
      </c>
      <c r="H100" s="10">
        <v>182</v>
      </c>
      <c r="I100" s="10">
        <v>6254</v>
      </c>
      <c r="J100" s="10" t="s">
        <v>46</v>
      </c>
    </row>
    <row r="101" spans="1:10" x14ac:dyDescent="0.3">
      <c r="A101" s="10" t="s">
        <v>10</v>
      </c>
      <c r="B101" s="10" t="s">
        <v>13</v>
      </c>
      <c r="C101" s="10" t="s">
        <v>29</v>
      </c>
      <c r="D101" s="10" t="s">
        <v>24</v>
      </c>
      <c r="E101" s="10">
        <v>20</v>
      </c>
      <c r="F101" s="10">
        <v>924</v>
      </c>
      <c r="G101" s="10">
        <v>19068</v>
      </c>
      <c r="H101" s="10">
        <v>588</v>
      </c>
      <c r="I101" s="10">
        <v>7034</v>
      </c>
      <c r="J101" s="10"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סעיף 8</vt:lpstr>
      <vt:lpstr>סעיף 7</vt:lpstr>
      <vt:lpstr>סעיף 6</vt:lpstr>
      <vt:lpstr>סעיף 5</vt:lpstr>
      <vt:lpstr>סעיף 3.6</vt:lpstr>
      <vt:lpstr>סעיף 3.5</vt:lpstr>
      <vt:lpstr>סעיף 3.4</vt:lpstr>
      <vt:lpstr>סעיף 3.3</vt:lpstr>
      <vt:lpstr>סעיף 3.2</vt:lpstr>
      <vt:lpstr>סעיף 3.1</vt:lpstr>
      <vt:lpstr>טבלת ציר</vt:lpstr>
      <vt:lpstr>'סעיף 6'!החזר_חודשי</vt:lpstr>
      <vt:lpstr>'סעיף 8'!החזר_חודשי</vt:lpstr>
      <vt:lpstr>החזר_חודשי</vt:lpstr>
      <vt:lpstr>'סעיף 6'!הלוואה</vt:lpstr>
      <vt:lpstr>'סעיף 8'!הלוואה</vt:lpstr>
      <vt:lpstr>הלוואה</vt:lpstr>
      <vt:lpstr>'סעיף 6'!ריבית_שנתית</vt:lpstr>
      <vt:lpstr>'סעיף 8'!ריבית_שנתית</vt:lpstr>
      <vt:lpstr>ריבית_שנתית</vt:lpstr>
      <vt:lpstr>'סעיף 6'!תקופה_שנתית</vt:lpstr>
      <vt:lpstr>'סעיף 8'!תקופה_שנתית</vt:lpstr>
      <vt:lpstr>תקופה_שנתית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 Svirskii</dc:creator>
  <cp:lastModifiedBy>Huawei</cp:lastModifiedBy>
  <dcterms:created xsi:type="dcterms:W3CDTF">2025-04-19T14:19:38Z</dcterms:created>
  <dcterms:modified xsi:type="dcterms:W3CDTF">2025-11-22T14:04:01Z</dcterms:modified>
</cp:coreProperties>
</file>